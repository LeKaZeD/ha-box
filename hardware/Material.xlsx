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https://d.docs.live.net/5b111b7c2403672f/HomeConnect/"/>
    </mc:Choice>
  </mc:AlternateContent>
  <xr:revisionPtr revIDLastSave="6" documentId="13_ncr:1_{04EE6EFD-1F77-4424-B1E8-7C443478A7A2}" xr6:coauthVersionLast="47" xr6:coauthVersionMax="47" xr10:uidLastSave="{40AE1342-05C3-FB4C-9F92-F3A7D7B3530B}"/>
  <bookViews>
    <workbookView xWindow="0" yWindow="660" windowWidth="29400" windowHeight="18460" activeTab="2" xr2:uid="{00000000-000D-0000-FFFF-FFFF00000000}"/>
  </bookViews>
  <sheets>
    <sheet name="Feuil1" sheetId="1" r:id="rId1"/>
    <sheet name="BOM" sheetId="2" r:id="rId2"/>
    <sheet name="BOM (2)" sheetId="6" r:id="rId3"/>
    <sheet name="dataV2" sheetId="5" r:id="rId4"/>
    <sheet name="data" sheetId="4" r:id="rId5"/>
    <sheet name="KiCAD" sheetId="3" r:id="rId6"/>
  </sheets>
  <definedNames>
    <definedName name="DonnéesExternes_1" localSheetId="4" hidden="1">data!$A$1:$J$55</definedName>
    <definedName name="DonnéesExternes_2" localSheetId="3" hidden="1">dataV2!$A$1:$H$53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6" l="1"/>
  <c r="L22" i="6"/>
  <c r="L21" i="6"/>
  <c r="J20" i="6"/>
  <c r="J19" i="6"/>
  <c r="J18" i="6"/>
  <c r="L18" i="6" s="1"/>
  <c r="J16" i="6"/>
  <c r="L16" i="6" s="1"/>
  <c r="J15" i="6"/>
  <c r="L15" i="6" s="1"/>
  <c r="J14" i="6"/>
  <c r="J21" i="6" s="1"/>
  <c r="J13" i="6"/>
  <c r="J11" i="6"/>
  <c r="J12" i="6" s="1"/>
  <c r="L12" i="6" s="1"/>
  <c r="J9" i="6"/>
  <c r="J8" i="6"/>
  <c r="J7" i="6"/>
  <c r="J10" i="6" s="1"/>
  <c r="J5" i="6"/>
  <c r="J4" i="6"/>
  <c r="J3" i="6"/>
  <c r="J6" i="6" s="1"/>
  <c r="L6" i="6" s="1"/>
  <c r="L18" i="2"/>
  <c r="L16" i="2"/>
  <c r="L15" i="2"/>
  <c r="L21" i="2"/>
  <c r="L22" i="2" s="1"/>
  <c r="L12" i="2"/>
  <c r="L6" i="2"/>
  <c r="J22" i="2"/>
  <c r="J21" i="2"/>
  <c r="J12" i="2"/>
  <c r="J10" i="2"/>
  <c r="J6" i="2"/>
  <c r="J20" i="2"/>
  <c r="J19" i="2"/>
  <c r="J18" i="2"/>
  <c r="J16" i="2"/>
  <c r="J15" i="2"/>
  <c r="J14" i="2"/>
  <c r="J13" i="2"/>
  <c r="J11" i="2"/>
  <c r="J7" i="2"/>
  <c r="J8" i="2"/>
  <c r="J9" i="2"/>
  <c r="J4" i="2"/>
  <c r="J5" i="2"/>
  <c r="J3" i="2"/>
  <c r="C23" i="1"/>
  <c r="C21" i="1"/>
  <c r="C17" i="1"/>
  <c r="C12" i="1"/>
  <c r="C6" i="1"/>
  <c r="J2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31ED7E-FBB2-405B-A941-E6D3FF232A8D}" keepAlive="1" name="Requête - data" description="Connexion à la requête « data » dans le classeur." type="5" refreshedVersion="8" background="1" saveData="1">
    <dbPr connection="Provider=Microsoft.Mashup.OleDb.1;Data Source=$Workbook$;Location=data;Extended Properties=&quot;&quot;" command="SELECT * FROM [data]"/>
  </connection>
  <connection id="2" xr16:uid="{E18C9FE1-49E6-4BD9-ABCA-27416E56CEA7}" keepAlive="1" name="Requête - dataV2" description="Connexion à la requête « dataV2 » dans le classeur." type="5" refreshedVersion="8" background="1" saveData="1">
    <dbPr connection="Provider=Microsoft.Mashup.OleDb.1;Data Source=$Workbook$;Location=dataV2;Extended Properties=&quot;&quot;" command="SELECT * FROM [dataV2]"/>
  </connection>
</connections>
</file>

<file path=xl/sharedStrings.xml><?xml version="1.0" encoding="utf-8"?>
<sst xmlns="http://schemas.openxmlformats.org/spreadsheetml/2006/main" count="1058" uniqueCount="393">
  <si>
    <t>Nom</t>
  </si>
  <si>
    <t>Prix</t>
  </si>
  <si>
    <t>Lien</t>
  </si>
  <si>
    <t>Commentaire</t>
  </si>
  <si>
    <t>https://amazon.fr/dp/B0CK2FCG1K/?coliid=I3BJO1ZEMPHWGM&amp;colid=3TPY2TASCROU9&amp;psc=1&amp;ref_=list_c_wl_lv_ov_lig_dp_it</t>
  </si>
  <si>
    <t xml:space="preserve"> </t>
  </si>
  <si>
    <t>Raspberry Pi 5 8go</t>
  </si>
  <si>
    <t>https://www.amazon.fr/Waveshare-Multifunctional-Compatible-Raspberry-Supports/dp/B0G2SFFDTR/ref=sr_1_1?__mk_fr_FR=%C3%85M%C3%85%C5%BD%C3%95%C3%91&amp;crid=37JO4XRCAYLEI&amp;dib=eyJ2IjoiMSJ9.7wLLR9VGlwNaAuNhl1ZQ1r7My5UXe7XWUqWRbQVAMtPHIPSm0G0vgikOV2gYUGpkWgIDcJjUJ-P_VfuaW070jO7wP8p-Edry6hlAoGFFXmc9Wy3nIEtaxoVUFX-1E2tJe0x3yYDWGKRf-1SDpx4UYTnV4JTqs-N_2Y1eWciFn9zlTOWQBzrcF7Luua7HYrJxwyLTO30MGhyP6edr3YX70C0KEqEFtgcaCIBd33vS65KGCdYzIS12ocN1J8WAB47czg4EcIhaEHbXNKvEvVEacpi8zroSYPIPTmi-0pzCQ3s.xrJyluxrGVsFDY9se4FxDA4SzqLlBUN1uiXVDpoQPRg&amp;dib_tag=se&amp;keywords=PCIe+To+M.2+Multifunctional+Adapter%2C+Compatible+with+Raspberry+Pi+5%2C+Two+Power+Supply+Methods%2C+Supports+Dual+4K+Outputs&amp;qid=1768231801&amp;sprefix=pcie+to+m.2+multifunctional+adapter%2C+compatible+with+raspberry+pi+5%2C+two+power+supply+methods%2C+supports+dual+4k+outputs%2Caps%2C220&amp;sr=8-1</t>
  </si>
  <si>
    <t>Waveshare PCIe to M.2 Multifunctional Adapter</t>
  </si>
  <si>
    <t>SSD m.2 nvme 128go</t>
  </si>
  <si>
    <t>https://www.amazon.fr/dp/B0CLXZBR5P/?coliid=I2N8E7SZ11DO1G&amp;colid=3TPY2TASCROU9&amp;psc=1&amp;ref_=list_c_wl_lv_ov_lig_dp_it</t>
  </si>
  <si>
    <t>Raspberry Pi® Ventilateur Actif</t>
  </si>
  <si>
    <t>https://www.amazon.fr/dp/B0CN3MRV16/?coliid=IOECF3FIPP3AJ&amp;colid=3TPY2TASCROU9&amp;psc=1&amp;ref_=list_c_wl_lv_ov_lig_dp_it</t>
  </si>
  <si>
    <t>Bloc d'alimentation Officiel Raspberry Pi 5 USB-C 27 W</t>
  </si>
  <si>
    <t>Sous Total</t>
  </si>
  <si>
    <t>Permet de deporter les prise HDMI et USB C (Alimentation)</t>
  </si>
  <si>
    <t>Raspberry Pi kit</t>
  </si>
  <si>
    <t>https://www.amazon.fr/dp/B0FD6QHTQV/?coliid=I2O6DFX5G30TMU&amp;colid=3TPY2TASCROU9&amp;psc=1&amp;ref_=list_c_wl_lv_ov_lig_dp_it</t>
  </si>
  <si>
    <t>https://www.amazon.fr/dp/B0DPPRV85Q/?coliid=I3OCTQYNZHPYYY&amp;colid=3TPY2TASCROU9&amp;psc=1&amp;ref_=list_c_wl_lv_ov_lig_dp_it</t>
  </si>
  <si>
    <t>Stockage de la machine en 2280</t>
  </si>
  <si>
    <t>Waveshare PCIe to USB 3.2 Gen1 / 2.5G ETH/M.2 NVMe Adapter</t>
  </si>
  <si>
    <t>Extentions Raspberry Pi</t>
  </si>
  <si>
    <t>Prise interne pour sonoff</t>
  </si>
  <si>
    <t>https://www.amazon.fr/dp/B0CVVFRMRH/?coliid=IHHCGDJM1NAOU&amp;colid=3TPY2TASCROU9&amp;psc=1&amp;ref_=list_c_wl_lv_ov_lig_dp_it</t>
  </si>
  <si>
    <t>300 Pièces Insert Fileté</t>
  </si>
  <si>
    <t>Lot de 486 entretoises hexagonales M2.5</t>
  </si>
  <si>
    <t>https://www.amazon.fr/dp/B0C1FY87PY/?coliid=I2GT1ZJJVSK5UZ&amp;colid=3TPY2TASCROU9&amp;ref_=list_c_wl_lv_ov_lig_dp_it&amp;th=1</t>
  </si>
  <si>
    <t xml:space="preserve">Quincaillerie </t>
  </si>
  <si>
    <t>Insert pour impression 3D</t>
  </si>
  <si>
    <t>visserie de fixation carte</t>
  </si>
  <si>
    <t>https://www.amazon.fr/SONOFF-Coordinator-Universelle-Passerelle-Assistant-dp-B09KXTCMSC/dp/B09KXTCMSC/ref=dp_ob_title_ce?th=1</t>
  </si>
  <si>
    <t>SONOFF ZigBee 3.0 USB Dongle Plus</t>
  </si>
  <si>
    <t>Protocoles</t>
  </si>
  <si>
    <t>TOTAL</t>
  </si>
  <si>
    <t>Description</t>
  </si>
  <si>
    <t>Qty</t>
  </si>
  <si>
    <t>Units</t>
  </si>
  <si>
    <t>Units cost</t>
  </si>
  <si>
    <t>Cost</t>
  </si>
  <si>
    <t>Link</t>
  </si>
  <si>
    <t>Title</t>
  </si>
  <si>
    <t>Ref</t>
  </si>
  <si>
    <t>Part</t>
  </si>
  <si>
    <t>Subpart</t>
  </si>
  <si>
    <t>Home connect box</t>
  </si>
  <si>
    <t>Electonique</t>
  </si>
  <si>
    <t>Composant divers</t>
  </si>
  <si>
    <t>https://buyepaper.com/products/gdey037t03-ft21</t>
  </si>
  <si>
    <t>3.7Inch Front Lit With E Ink</t>
  </si>
  <si>
    <t>Screen for basic info display</t>
  </si>
  <si>
    <t>GDEY037T03-FT21</t>
  </si>
  <si>
    <t>https://buyepaper.com/products/esp32-fts02</t>
  </si>
  <si>
    <t>Adaptateur SPI pour écran e-paper</t>
  </si>
  <si>
    <t>Connection card screen</t>
  </si>
  <si>
    <t>ESP32-FTS02</t>
  </si>
  <si>
    <t>https://www.amazon.fr/Lecteur-Communication-Ultralight-IEC14443-4-Raspberry/dp/B0FB95HMMC/ref=sr_1_2_sspa?adgrpid=55184149614&amp;dib=eyJ2IjoiMSJ9.xLFV-FUdx5khVvS5VHzEIbWmlmFky0OtGmIOfIW-LGxffbhQWQuVJ_5ZuFD03avEQSb4ZtsE7nO2Cb3gBBgLE2bIzU0MSGaf-qo-MrK3TFXMBCmPGUjhlD_gQc5vLcuyerzvhVP2Ph3MxJN6JNeDPUYrLBrAi4BjqBMqEPHNDRsExkuO5LZZ1hnERXJuiEgbxu0jVdlUf3mNB3l7zJIL2VbHZAmlbzfrNdxwy9hA_hA_fgWDwzGc_8zb5D5GeK1NyxpDTF7e4Xf8X3C1qixHgVoNbYk6dP3zk6o5CVwhL-k.ICblHlGHqaKhTo_N4tSHdy0t1fDeRPhb7DStLksSKyA&amp;dib_tag=se&amp;hvadid=275376823906&amp;hvdev=c&amp;hvexpln=0&amp;hvlocphy=9056539&amp;hvnetw=g&amp;hvocijid=7951459344660786074--&amp;hvqmt=e&amp;hvrand=7951459344660786074&amp;hvtargid=kwd-313168286768&amp;hydadcr=23865_1819477&amp;keywords=capteur+nfc&amp;mcid=59eb8a10d852365299cd5dcab0c4154e&amp;qid=1768404018&amp;sr=8-2-spons&amp;aref=S6n3ornkHz&amp;sp_csd=d2lkZ2V0TmFtZT1zcF9hdGY&amp;psc=1</t>
  </si>
  <si>
    <t>PN532</t>
  </si>
  <si>
    <t>https://www.amazon.fr/Fayrimi-BMP280-capteurs-temp%C3%A9rature-num%C3%A9rique/dp/B0BJF3L9CS/ref=sr_1_25?dib=eyJ2IjoiMSJ9.zbUZyNts_RUi6_Uc4l97OK7RKFQBiF6ZVEooZqaJDx5xjxcNN4KVutfk9vtZFRBP60PRxmXkSqWYHvtqBb4UOvGQOHrBC6LWQNplFCXE8a1dX59wI2j-fj6zuSAWMlykN2QmgaEaM-2Pb7vgsTvfQ_q6BJXmUcSCqpWqFT5AFxXuBJmb1lPBs1PmC3UYVkQcOAoiRCpGIi13t57B61t3eKyzM8gbv5R1jVs0XtlSuBk5jHa7rzp9d2WLA9SPRYgCAoCCxjv1f1abX8_3Su4PnUYUGoo7-kHhjVGCIcixDZg.8jtYXWSWPCbmFI2c84KPMbxg7S7BBtcvzVFL-q90MuM&amp;dib_tag=se&amp;keywords=BMP280&amp;qid=1768404593&amp;sr=8-25</t>
  </si>
  <si>
    <t>BMP280</t>
  </si>
  <si>
    <t>Fayrimi BMP280</t>
  </si>
  <si>
    <t>Capteur de temperature interne</t>
  </si>
  <si>
    <t>Capteur NFC</t>
  </si>
  <si>
    <t>ESP32</t>
  </si>
  <si>
    <t>Controller de led</t>
  </si>
  <si>
    <t>ESP 32</t>
  </si>
  <si>
    <t>Noctua NF-A6x15 5V PWM,</t>
  </si>
  <si>
    <t>NF-A6x15</t>
  </si>
  <si>
    <t>Ventilateur de la boite</t>
  </si>
  <si>
    <t>https://www.amazon.fr/dp/B0DJP3987K/?coliid=I33BL9KV6KKYW5&amp;colid=3TPY2TASCROU9&amp;psc=1&amp;ref_=list_c_wl_lv_ov_lig_dp_it</t>
  </si>
  <si>
    <t>SEZO WS2812B ECO Ruban LED 1M 144 LEDs DC5V</t>
  </si>
  <si>
    <t>SEZO WS2812B ECO</t>
  </si>
  <si>
    <t>Bande led</t>
  </si>
  <si>
    <t>https://www.amazon.fr/dp/B0D5CJK1YS/?coliid=IQJD6AI77IXKL&amp;colid=3TPY2TASCROU9&amp;psc=1&amp;ref_=list_c_wl_lv_ov_lig_dp_it</t>
  </si>
  <si>
    <t>https://www.amazon.fr/AUKENIEN-Interrupteurs-Electronique-Momentan%C3%A9s-dassortiment/dp/B09WYRHPDL/ref=sr_1_1_sspa?crid=2GG4V0PNA3BHB&amp;dib=eyJ2IjoiMSJ9.R0g21O51EmOfjsNlcy9qwo3ehFkrt4F2Ou5kbuq6y9iscdQItbAyzK04CgTlJiEWYzWxEavkOWOtVv33PZZeFKfUUx3rrQyff0pqG-hRhQT7WDa-X8oT1BMV6B7AkrK-RCwkPQhcIEgiYvbc2fzUj3K9hL2u5SF2sB1H-nTvmfvqzxz0qfnLweG7MdBph2dk6depHonLWsvXOsE41Knc3AGUr7wDDwVrjge12Li1Jm123i-7QuL4iHnKrv-X-GOzObOU136Tf3vgzAZu-CW1A8cR2Uw4-lwlq1Dln-rFnRo.bsO2E-THDV7a1AhX__DTwF9GQQ1G8YiH76Np05lkLss&amp;dib_tag=se&amp;keywords=bouton%2Belectronique&amp;qid=1768407027&amp;sprefix=bouton%2Bel%2Caps%2C256&amp;sr=8-1-spons&amp;aref=pZbZcdaGNr&amp;sp_csd=d2lkZ2V0TmFtZT1zcF9hdGY&amp;th=1</t>
  </si>
  <si>
    <t>Bouton Poussoir Electronique</t>
  </si>
  <si>
    <t>Selection bouton 4 broches</t>
  </si>
  <si>
    <t>Sub Total</t>
  </si>
  <si>
    <t>Total</t>
  </si>
  <si>
    <t>Fonction</t>
  </si>
  <si>
    <t>RefDes</t>
  </si>
  <si>
    <t>Qté</t>
  </si>
  <si>
    <t>MPN / Type conseillé</t>
  </si>
  <si>
    <t>Interface CM5</t>
  </si>
  <si>
    <t>Connecteur externe</t>
  </si>
  <si>
    <t>Symbol KiCad</t>
  </si>
  <si>
    <t>Footprint KiCad</t>
  </si>
  <si>
    <t>Driver à écrire</t>
  </si>
  <si>
    <t>BASE CM5</t>
  </si>
  <si>
    <t>J_CM5A</t>
  </si>
  <si>
    <t>Connecteur mezzanine CM5 A</t>
  </si>
  <si>
    <t>Selon Raspberry Pi CM5 HW guide</t>
  </si>
  <si>
    <t>CM5 bus</t>
  </si>
  <si>
    <t>Non</t>
  </si>
  <si>
    <t>Connector_Generic:Conn_02xXX_Odd_Even</t>
  </si>
  <si>
    <t>TBD_CM5_Mezzanine</t>
  </si>
  <si>
    <t>J_CM5B</t>
  </si>
  <si>
    <t>Connecteur mezzanine CM5 B</t>
  </si>
  <si>
    <t>U_EEP</t>
  </si>
  <si>
    <t>EEPROM ID carte</t>
  </si>
  <si>
    <t>AT24C32 / AT24C64</t>
  </si>
  <si>
    <t>I2C</t>
  </si>
  <si>
    <t>Memory_EEPROM:24LCxx</t>
  </si>
  <si>
    <t>Package_SO:SOIC-8_3.9x4.9mm_P1.27mm</t>
  </si>
  <si>
    <t/>
  </si>
  <si>
    <t>STOCKAGE</t>
  </si>
  <si>
    <t>J_M2</t>
  </si>
  <si>
    <t>Slot NVMe M.2 Key M</t>
  </si>
  <si>
    <t>M.2 Key M 2242 ou 2280</t>
  </si>
  <si>
    <t>PCIe</t>
  </si>
  <si>
    <t>Connector:Conn_M.2</t>
  </si>
  <si>
    <t>Connector_M.2:M.2_Key_M</t>
  </si>
  <si>
    <t>H_M2</t>
  </si>
  <si>
    <t>Fixation mécanique NVMe</t>
  </si>
  <si>
    <t>Insert + vis M2</t>
  </si>
  <si>
    <t>Mécanique</t>
  </si>
  <si>
    <t>Mechanical:MountingHole</t>
  </si>
  <si>
    <t>MountingHole:MountingHole_2.2mm_M2</t>
  </si>
  <si>
    <t>ALIMENTATION</t>
  </si>
  <si>
    <t>J_PWR</t>
  </si>
  <si>
    <t>Entrée alimentation 5V</t>
  </si>
  <si>
    <t>Bornier 2P / XT30</t>
  </si>
  <si>
    <t>Power</t>
  </si>
  <si>
    <t>Oui</t>
  </si>
  <si>
    <t>Connector:Screw_Terminal_01x02</t>
  </si>
  <si>
    <t>TerminalBlock:TerminalBlock_2pin</t>
  </si>
  <si>
    <t>F1</t>
  </si>
  <si>
    <t>Protection sur 5V</t>
  </si>
  <si>
    <t>Polyfuse 2–5A</t>
  </si>
  <si>
    <t>Device:Polyfuse</t>
  </si>
  <si>
    <t>Fuse:Fuse_1206_3216Metric</t>
  </si>
  <si>
    <t>D_TVS5V</t>
  </si>
  <si>
    <t>TVS protection 5V</t>
  </si>
  <si>
    <t>SMBJ5.0A</t>
  </si>
  <si>
    <t>Device:D_TVS</t>
  </si>
  <si>
    <t>Diode_SMD:D_SMB</t>
  </si>
  <si>
    <t>Q_INV</t>
  </si>
  <si>
    <t>Anti-inversion polarité</t>
  </si>
  <si>
    <t>PMOS ideal diode</t>
  </si>
  <si>
    <t>Device:Q_PMOS_GDS</t>
  </si>
  <si>
    <t>Package_TO_SOT_SMD:SOT-23</t>
  </si>
  <si>
    <t>U_Buck33</t>
  </si>
  <si>
    <t>Buck 5V → 3.3V 3A</t>
  </si>
  <si>
    <t>MP1584 / TPS5430</t>
  </si>
  <si>
    <t>Regulator_Switching:MP1584EN</t>
  </si>
  <si>
    <t>Package_SO:SOIC-8_EP</t>
  </si>
  <si>
    <t>L_Buck33</t>
  </si>
  <si>
    <t>Inductance buck</t>
  </si>
  <si>
    <t>2.2–4.7µH</t>
  </si>
  <si>
    <t>Device:L</t>
  </si>
  <si>
    <t>Inductor_SMD:L_XXXX</t>
  </si>
  <si>
    <t>C_IN33</t>
  </si>
  <si>
    <t>Condensateurs entrée buck</t>
  </si>
  <si>
    <t>22–47µF</t>
  </si>
  <si>
    <t>Device:C</t>
  </si>
  <si>
    <t>Capacitor_SMD:C_1206_3216Metric</t>
  </si>
  <si>
    <t>C_OUT33</t>
  </si>
  <si>
    <t>Condensateurs sortie buck</t>
  </si>
  <si>
    <t>ÉCRAN E-INK</t>
  </si>
  <si>
    <t>J_EINK</t>
  </si>
  <si>
    <t>Connecteur écran e-ink</t>
  </si>
  <si>
    <t>Selon nappe GDEY037T03</t>
  </si>
  <si>
    <t>SPI + GPIO</t>
  </si>
  <si>
    <t>Connector_Generic:Conn_01xXX</t>
  </si>
  <si>
    <t>Connector_FFC-FPC:FFC_0.5mm_XX</t>
  </si>
  <si>
    <t>Non (userspace)</t>
  </si>
  <si>
    <t>Q_FL</t>
  </si>
  <si>
    <t>MOSFET frontlight</t>
  </si>
  <si>
    <t>AO3400 / 2N7002</t>
  </si>
  <si>
    <t>PWM GPIO</t>
  </si>
  <si>
    <t>Device:Q_NMOS_GSD</t>
  </si>
  <si>
    <t>R_FL</t>
  </si>
  <si>
    <t>Résistance gate / courant</t>
  </si>
  <si>
    <t>Selon schéma</t>
  </si>
  <si>
    <t>Device:R</t>
  </si>
  <si>
    <t>Resistor_SMD:R_0603_1608Metric</t>
  </si>
  <si>
    <t>CAPTEURS</t>
  </si>
  <si>
    <t>U_BMP</t>
  </si>
  <si>
    <t>Capteur température/pression</t>
  </si>
  <si>
    <t>Sensor_Pressure:BMP280</t>
  </si>
  <si>
    <t>Package_LGA:LGA-8_2x2mm_P0.5mm</t>
  </si>
  <si>
    <t>R_I2C1</t>
  </si>
  <si>
    <t>Pull-up I2C SDA</t>
  </si>
  <si>
    <t>2.2k–4.7k</t>
  </si>
  <si>
    <t>R_I2C2</t>
  </si>
  <si>
    <t>Pull-up I2C SCL</t>
  </si>
  <si>
    <t>NFC</t>
  </si>
  <si>
    <t>U_PN</t>
  </si>
  <si>
    <t>Contrôleur NFC</t>
  </si>
  <si>
    <t>UART recommandé</t>
  </si>
  <si>
    <t>Antenne NFC</t>
  </si>
  <si>
    <t>RF:NFC_PN532</t>
  </si>
  <si>
    <t>Package_QFN:QFN-40</t>
  </si>
  <si>
    <t>J_NFC</t>
  </si>
  <si>
    <t>Connecteur antenne NFC</t>
  </si>
  <si>
    <t>Antenne 13.56 MHz</t>
  </si>
  <si>
    <t>Connector_Generic:Conn_01x02</t>
  </si>
  <si>
    <t>PinHeader_1x02_P2.54mm</t>
  </si>
  <si>
    <t>LED WS2812</t>
  </si>
  <si>
    <t>J_LED</t>
  </si>
  <si>
    <t>Sortie ruban LED</t>
  </si>
  <si>
    <t>Bornier 3P</t>
  </si>
  <si>
    <t>GPIO + 5V</t>
  </si>
  <si>
    <t>Connector:Screw_Terminal_01x03</t>
  </si>
  <si>
    <t>TerminalBlock_1x03</t>
  </si>
  <si>
    <t>U_LS</t>
  </si>
  <si>
    <t>Level shifter data</t>
  </si>
  <si>
    <t>74AHCT125</t>
  </si>
  <si>
    <t>GPIO</t>
  </si>
  <si>
    <t>74xx:74AHCT125</t>
  </si>
  <si>
    <t>Package_SO:TSSOP-14</t>
  </si>
  <si>
    <t>R_LED</t>
  </si>
  <si>
    <t>Résistance série data</t>
  </si>
  <si>
    <t>330Ω</t>
  </si>
  <si>
    <t>C_LED_BULK</t>
  </si>
  <si>
    <t>Condensateur bulk 5V</t>
  </si>
  <si>
    <t>1000–2200µF</t>
  </si>
  <si>
    <t>Device:CP</t>
  </si>
  <si>
    <t>Capacitor_SMD:CP_Elec_10mm</t>
  </si>
  <si>
    <t>VENTILATION</t>
  </si>
  <si>
    <t>J_FAN</t>
  </si>
  <si>
    <t>Connecteur ventilateur 5V PWM</t>
  </si>
  <si>
    <t>Header 1x4</t>
  </si>
  <si>
    <t>Connector_Generic:Conn_01x04</t>
  </si>
  <si>
    <t>PinHeader_1x04_P2.54mm</t>
  </si>
  <si>
    <t>Q_FANPWM</t>
  </si>
  <si>
    <t>MOSFET PWM fan</t>
  </si>
  <si>
    <t>2N7002</t>
  </si>
  <si>
    <t>INFRAROUGE</t>
  </si>
  <si>
    <t>U_IRRX</t>
  </si>
  <si>
    <t>Récepteur IR</t>
  </si>
  <si>
    <t>TSOPxxxx</t>
  </si>
  <si>
    <t>Façade</t>
  </si>
  <si>
    <t>Device:IRReceiver</t>
  </si>
  <si>
    <t>Package_TO_SOT_THT:TO-92</t>
  </si>
  <si>
    <t>D_IR</t>
  </si>
  <si>
    <t>LED IR émetteur</t>
  </si>
  <si>
    <t>940nm</t>
  </si>
  <si>
    <t>Device:LED</t>
  </si>
  <si>
    <t>LED_SMD:LED_1206_3216Metric</t>
  </si>
  <si>
    <t>Q_IR</t>
  </si>
  <si>
    <t>Driver LED IR</t>
  </si>
  <si>
    <t>NMOS</t>
  </si>
  <si>
    <t>ZIGBEE / THREAD</t>
  </si>
  <si>
    <t>U_154</t>
  </si>
  <si>
    <t>Module radio 802.15.4</t>
  </si>
  <si>
    <t>Module UART certifié</t>
  </si>
  <si>
    <t>UART</t>
  </si>
  <si>
    <t>RF_Module:RF_Module</t>
  </si>
  <si>
    <t>RF_Module:Module_Castellated</t>
  </si>
  <si>
    <t>J_UFL24</t>
  </si>
  <si>
    <t>Connecteur antenne 2.4GHz</t>
  </si>
  <si>
    <t>u.FL</t>
  </si>
  <si>
    <t>RF</t>
  </si>
  <si>
    <t>Connector_Coaxial:Conn_Coaxial</t>
  </si>
  <si>
    <t>Connector_Coaxial:U.FL_Hirose</t>
  </si>
  <si>
    <t>Z-WAVE</t>
  </si>
  <si>
    <t>U_ZW</t>
  </si>
  <si>
    <t>Module Z-Wave EU 868</t>
  </si>
  <si>
    <t>Module UART</t>
  </si>
  <si>
    <t>J_UFL868</t>
  </si>
  <si>
    <t>Connecteur antenne 868MHz</t>
  </si>
  <si>
    <t>RADIO 433</t>
  </si>
  <si>
    <t>U_433</t>
  </si>
  <si>
    <t>Transceiver 433MHz</t>
  </si>
  <si>
    <t>CC1101-like</t>
  </si>
  <si>
    <t>SPI</t>
  </si>
  <si>
    <t>RF:Transceiver</t>
  </si>
  <si>
    <t>Package_QFN</t>
  </si>
  <si>
    <t>Souvent oui</t>
  </si>
  <si>
    <t>J_UFL433</t>
  </si>
  <si>
    <t>Connecteur antenne 433MHz</t>
  </si>
  <si>
    <t>IHM</t>
  </si>
  <si>
    <t>SW1</t>
  </si>
  <si>
    <t>Bouton utilisateur</t>
  </si>
  <si>
    <t>tact switch</t>
  </si>
  <si>
    <t>Switch:SW_Push</t>
  </si>
  <si>
    <t>Button_Switch_SMD:SW_SPST_TACT</t>
  </si>
  <si>
    <t>SW2</t>
  </si>
  <si>
    <t>DEBUG</t>
  </si>
  <si>
    <t>TP_5V</t>
  </si>
  <si>
    <t>Test point 5V</t>
  </si>
  <si>
    <t>Pad</t>
  </si>
  <si>
    <t>Test</t>
  </si>
  <si>
    <t>TestPoint:TestPoint</t>
  </si>
  <si>
    <t>TestPoint:TestPoint_Pad_D1.0mm</t>
  </si>
  <si>
    <t>TP_3V3</t>
  </si>
  <si>
    <t>Test point 3.3V</t>
  </si>
  <si>
    <t>TP_GND</t>
  </si>
  <si>
    <t>Test point GND</t>
  </si>
  <si>
    <t>EFR32MG21</t>
  </si>
  <si>
    <t>MPN/Type</t>
  </si>
  <si>
    <t>Interface</t>
  </si>
  <si>
    <t>Notes</t>
  </si>
  <si>
    <t>CM5 Base</t>
  </si>
  <si>
    <t>Mezzanine CM5 A</t>
  </si>
  <si>
    <t>TBD</t>
  </si>
  <si>
    <t>Mezzanine CM5 B</t>
  </si>
  <si>
    <t>Stockage</t>
  </si>
  <si>
    <t>M.2 Key M 2242/2280</t>
  </si>
  <si>
    <t>PCIe x1 du CM5</t>
  </si>
  <si>
    <t>Fixation mécanique</t>
  </si>
  <si>
    <t>Insert+vis M2</t>
  </si>
  <si>
    <t>Entrée 5V</t>
  </si>
  <si>
    <t>Alimentation 5V</t>
  </si>
  <si>
    <t>Polyfuse</t>
  </si>
  <si>
    <t>Protection courant</t>
  </si>
  <si>
    <t>TVS 5V</t>
  </si>
  <si>
    <t>Sur rail 5V</t>
  </si>
  <si>
    <t>Anti-inversion PMOS</t>
  </si>
  <si>
    <t>Si2302</t>
  </si>
  <si>
    <t>Protection entrée</t>
  </si>
  <si>
    <t>Buck 5V→3.3V</t>
  </si>
  <si>
    <t>MP1584EN</t>
  </si>
  <si>
    <t>3.3V logiques</t>
  </si>
  <si>
    <t>4.7µH</t>
  </si>
  <si>
    <t>Condensateurs entrée</t>
  </si>
  <si>
    <t>22µF</t>
  </si>
  <si>
    <t>Condensateurs sortie</t>
  </si>
  <si>
    <t>ESP32 IO</t>
  </si>
  <si>
    <t>U_ESP32</t>
  </si>
  <si>
    <t>Module ESP32 (ESP32-WROOM)</t>
  </si>
  <si>
    <t>ESP32-WROOM</t>
  </si>
  <si>
    <t>UART/ESPHome</t>
  </si>
  <si>
    <t>Pilote écran, boutons, LEDs, NFC events (si PN532 en I2C)</t>
  </si>
  <si>
    <t>J_ESP32_PWR</t>
  </si>
  <si>
    <t>Alim ESP32 3V3</t>
  </si>
  <si>
    <t>Header</t>
  </si>
  <si>
    <t>3.3V + GND</t>
  </si>
  <si>
    <t>E-ink Screen</t>
  </si>
  <si>
    <t>FPC/FFC selon nappe</t>
  </si>
  <si>
    <t>SPI+GPIO</t>
  </si>
  <si>
    <t>Affichage + BUSY/DC/RST/CS</t>
  </si>
  <si>
    <t>AO3400</t>
  </si>
  <si>
    <t>PWM backlight</t>
  </si>
  <si>
    <t>Res gate/frontlight</t>
  </si>
  <si>
    <t>Touch</t>
  </si>
  <si>
    <t>J_TOUCH</t>
  </si>
  <si>
    <t>Connecteur tactile</t>
  </si>
  <si>
    <t>Header 6 pins</t>
  </si>
  <si>
    <t>I2C+GPIO</t>
  </si>
  <si>
    <t>SCL/SDA/INT/RST/3V3/GND</t>
  </si>
  <si>
    <t>I2C sensors</t>
  </si>
  <si>
    <t>Capteur BMP280</t>
  </si>
  <si>
    <t>Temp/pressure sensor</t>
  </si>
  <si>
    <t>U_PN532</t>
  </si>
  <si>
    <t>NFC PN532</t>
  </si>
  <si>
    <t>NFC reader</t>
  </si>
  <si>
    <t>Pull-up SDA</t>
  </si>
  <si>
    <t>2.2k</t>
  </si>
  <si>
    <t>Pull-up SCL</t>
  </si>
  <si>
    <t>Buttons</t>
  </si>
  <si>
    <t>Bouton user</t>
  </si>
  <si>
    <t>Tact switch</t>
  </si>
  <si>
    <t>User input</t>
  </si>
  <si>
    <t>LEDs</t>
  </si>
  <si>
    <t>J_LED_PWR</t>
  </si>
  <si>
    <t>Power LED strip</t>
  </si>
  <si>
    <t>Header 3 pins</t>
  </si>
  <si>
    <t>5V/DI/GND</t>
  </si>
  <si>
    <t>5V + data + GND</t>
  </si>
  <si>
    <t>Level shifter for WS2812</t>
  </si>
  <si>
    <t>Series resistor WS2812</t>
  </si>
  <si>
    <t>Bulk cap for LED</t>
  </si>
  <si>
    <t>1000µF</t>
  </si>
  <si>
    <t>Ventilation</t>
  </si>
  <si>
    <t>Fan header 4 pins</t>
  </si>
  <si>
    <t>5V/PWM/TACH</t>
  </si>
  <si>
    <t>MOSFET fan PWM</t>
  </si>
  <si>
    <t>Zigbee/Thread</t>
  </si>
  <si>
    <t>U_RF2_4</t>
  </si>
  <si>
    <t>802.15.4 multiprotocol radio</t>
  </si>
  <si>
    <t>MGM210P</t>
  </si>
  <si>
    <t>1 antenne interne 2.4GHz</t>
  </si>
  <si>
    <t>U.FL 2.4GHz</t>
  </si>
  <si>
    <t>U.FL-R-SMT</t>
  </si>
  <si>
    <t>Antenne 2.4GHz</t>
  </si>
  <si>
    <t>Z-Wave EU</t>
  </si>
  <si>
    <t>Z-Wave radio module</t>
  </si>
  <si>
    <t>ZGM230S</t>
  </si>
  <si>
    <t>U.FL 868MHz</t>
  </si>
  <si>
    <t>Antenne EU 868</t>
  </si>
  <si>
    <t>433 MHz</t>
  </si>
  <si>
    <t>433MHz transceiver</t>
  </si>
  <si>
    <t>CC1101-mod</t>
  </si>
  <si>
    <t>U.FL 433MHz</t>
  </si>
  <si>
    <t>Antenne 433MHz</t>
  </si>
  <si>
    <t>Debug</t>
  </si>
  <si>
    <t>TP 5V</t>
  </si>
  <si>
    <t>Test point</t>
  </si>
  <si>
    <t>TP 3V3</t>
  </si>
  <si>
    <t>TP GND</t>
  </si>
  <si>
    <t>https://www.amazon.fr/-/en/SC1113-Raspberry-Pi-5-16GB/dp/B0DSPYPKRG/ref=sr_1_1?crid=2ODFRBPH0X698&amp;dib=eyJ2IjoiMSJ9.3hngMBt_UdbimMeMzMPT74-5RTn5KXySrqsQ-4XrHgMxe_wP9Q2-zUbGl_pnKW-YlWEyh2B3fch5s9In_mj36IfzqroddZRJny1nwWjB3llkC6Nw9tgzkyXMO7s7yMudzBxzfWoKVjngdJfowl9qLXe8elhJb6eGaCni3by0ZsVxNt_ZyEGP9IdnVkJUlAA1Wyjep_GtMdLev3IF-ApSal-L-7cdTOswzuNrTI3nYo4oV5etHfr18CD_xWdx_puKtiAM4V3_JoMAnlA8gHfNze2-CN-nNh0u0lbD9Amye1w.F_LxwFi8Z25KljVdCdEtkKtzoPqgRCkqPq_Je2378J0&amp;dib_tag=se&amp;keywords=raspberry+pi+5&amp;qid=1768737793&amp;sprefix=rasp%2Caps%2C238&amp;sr=8-1</t>
  </si>
  <si>
    <t>Raspberry Pi 5 16go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</si>
</sst>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€-40C]_-;\-* #,##0.00\ [$€-40C]_-;_-* &quot;-&quot;??\ [$€-40C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2" fillId="0" borderId="2" xfId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164" fontId="0" fillId="0" borderId="4" xfId="0" applyNumberFormat="1" applyBorder="1"/>
    <xf numFmtId="0" fontId="1" fillId="0" borderId="5" xfId="0" applyFont="1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0" fontId="1" fillId="0" borderId="1" xfId="0" applyFont="1" applyBorder="1"/>
    <xf numFmtId="164" fontId="1" fillId="0" borderId="1" xfId="0" applyNumberFormat="1" applyFont="1" applyBorder="1"/>
    <xf numFmtId="0" fontId="2" fillId="0" borderId="4" xfId="1" applyBorder="1"/>
    <xf numFmtId="164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center" vertical="center"/>
    </xf>
    <xf numFmtId="164" fontId="1" fillId="0" borderId="2" xfId="2" applyNumberFormat="1" applyFont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0" fontId="2" fillId="0" borderId="3" xfId="1" applyBorder="1"/>
    <xf numFmtId="164" fontId="0" fillId="0" borderId="3" xfId="2" applyNumberFormat="1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164" fontId="0" fillId="0" borderId="7" xfId="2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1" xfId="0" applyBorder="1"/>
    <xf numFmtId="0" fontId="2" fillId="0" borderId="11" xfId="1" applyBorder="1"/>
    <xf numFmtId="164" fontId="0" fillId="0" borderId="11" xfId="0" applyNumberFormat="1" applyBorder="1"/>
    <xf numFmtId="164" fontId="0" fillId="0" borderId="11" xfId="2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AB218ED5-8B50-4696-9701-17853A126438}" autoFormatId="16" applyNumberFormats="0" applyBorderFormats="0" applyFontFormats="0" applyPatternFormats="0" applyAlignmentFormats="0" applyWidthHeightFormats="0">
  <queryTableRefresh nextId="9">
    <queryTableFields count="8">
      <queryTableField id="1" name="Fonction" tableColumnId="1"/>
      <queryTableField id="2" name="RefDes" tableColumnId="2"/>
      <queryTableField id="3" name="Qty" tableColumnId="3"/>
      <queryTableField id="4" name="Description" tableColumnId="4"/>
      <queryTableField id="5" name="MPN/Type" tableColumnId="5"/>
      <queryTableField id="6" name="Interface" tableColumnId="6"/>
      <queryTableField id="7" name="Connecteur externe" tableColumnId="7"/>
      <queryTableField id="8" name="Not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240AFF7-816B-4B23-9263-C427A79D6A50}" autoFormatId="16" applyNumberFormats="0" applyBorderFormats="0" applyFontFormats="0" applyPatternFormats="0" applyAlignmentFormats="0" applyWidthHeightFormats="0">
  <queryTableRefresh nextId="11">
    <queryTableFields count="10">
      <queryTableField id="1" name="Fonction" tableColumnId="1"/>
      <queryTableField id="2" name="RefDes" tableColumnId="2"/>
      <queryTableField id="3" name="Qté" tableColumnId="3"/>
      <queryTableField id="4" name="Description" tableColumnId="4"/>
      <queryTableField id="5" name="MPN / Type conseillé" tableColumnId="5"/>
      <queryTableField id="6" name="Interface CM5" tableColumnId="6"/>
      <queryTableField id="7" name="Connecteur externe" tableColumnId="7"/>
      <queryTableField id="8" name="Symbol KiCad" tableColumnId="8"/>
      <queryTableField id="9" name="Footprint KiCad" tableColumnId="9"/>
      <queryTableField id="10" name="Driver à écrir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E52B74-8C09-4C18-812C-ED52CC1F3F56}" name="dataV2" displayName="dataV2" ref="A1:H53" tableType="queryTable" totalsRowShown="0">
  <autoFilter ref="A1:H53" xr:uid="{29E52B74-8C09-4C18-812C-ED52CC1F3F56}"/>
  <tableColumns count="8">
    <tableColumn id="1" xr3:uid="{0AC56922-7B2D-498E-AA96-83692CA8A1F7}" uniqueName="1" name="Fonction" queryTableFieldId="1" dataDxfId="15"/>
    <tableColumn id="2" xr3:uid="{C316E0D4-4465-4AA9-BE56-19FA8FCDF29D}" uniqueName="2" name="RefDes" queryTableFieldId="2" dataDxfId="14"/>
    <tableColumn id="3" xr3:uid="{0CC3812E-FA46-4455-A277-C95776214BBF}" uniqueName="3" name="Qty" queryTableFieldId="3"/>
    <tableColumn id="4" xr3:uid="{D1A2C7B7-D871-4F05-8737-479C360143C4}" uniqueName="4" name="Description" queryTableFieldId="4" dataDxfId="13"/>
    <tableColumn id="5" xr3:uid="{8C16BC46-6650-4C02-BF4A-646D5001CD60}" uniqueName="5" name="MPN/Type" queryTableFieldId="5" dataDxfId="12"/>
    <tableColumn id="6" xr3:uid="{D7FA1B8C-631A-4D04-B33E-AAFB1BFE77A3}" uniqueName="6" name="Interface" queryTableFieldId="6" dataDxfId="11"/>
    <tableColumn id="7" xr3:uid="{01F4289A-DB78-4959-9E6E-7A9FAB9AB10B}" uniqueName="7" name="Connecteur externe" queryTableFieldId="7" dataDxfId="10"/>
    <tableColumn id="8" xr3:uid="{DF927975-3DC7-4AAA-83DC-2529547E370B}" uniqueName="8" name="Notes" queryTableFieldId="8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4709C-1B9E-45C1-A977-FA19FFB7D260}" name="data" displayName="data" ref="A1:J55" tableType="queryTable" totalsRowShown="0">
  <autoFilter ref="A1:J55" xr:uid="{E104709C-1B9E-45C1-A977-FA19FFB7D260}"/>
  <tableColumns count="10">
    <tableColumn id="1" xr3:uid="{488138FA-61D5-46F3-875F-F9157BD49AD1}" uniqueName="1" name="Fonction" queryTableFieldId="1" dataDxfId="8"/>
    <tableColumn id="2" xr3:uid="{3922FB8E-C2AA-4239-8D61-14192B71B775}" uniqueName="2" name="RefDes" queryTableFieldId="2" dataDxfId="7"/>
    <tableColumn id="3" xr3:uid="{F3395AF1-10A0-4AD0-987C-8EDCFF2870C4}" uniqueName="3" name="Qté" queryTableFieldId="3"/>
    <tableColumn id="4" xr3:uid="{8BBA3FA8-336E-45B8-8BEB-B44D57E0E85D}" uniqueName="4" name="Description" queryTableFieldId="4" dataDxfId="6"/>
    <tableColumn id="5" xr3:uid="{C0A34BD2-0323-4EA7-833E-6465AEBAA0EA}" uniqueName="5" name="MPN / Type conseillé" queryTableFieldId="5" dataDxfId="5"/>
    <tableColumn id="6" xr3:uid="{D6827ACC-E783-409A-816F-4794C5789481}" uniqueName="6" name="Interface CM5" queryTableFieldId="6" dataDxfId="4"/>
    <tableColumn id="7" xr3:uid="{C40F3B22-BD48-40D6-8F05-C9B24198C758}" uniqueName="7" name="Connecteur externe" queryTableFieldId="7" dataDxfId="3"/>
    <tableColumn id="8" xr3:uid="{B397AA82-5014-4E71-82D2-1BDC0CE77B25}" uniqueName="8" name="Symbol KiCad" queryTableFieldId="8" dataDxfId="2"/>
    <tableColumn id="9" xr3:uid="{6CBB5776-C8A3-4E7A-AF3E-8B55B6FFCEAB}" uniqueName="9" name="Footprint KiCad" queryTableFieldId="9" dataDxfId="1"/>
    <tableColumn id="10" xr3:uid="{BF09AE6A-23E8-4CCA-9E6D-08D2E899F2DD}" uniqueName="10" name="Driver à écrir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fr/SONOFF-Coordinator-Universelle-Passerelle-Assistant-dp-B09KXTCMSC/dp/B09KXTCMSC/ref=dp_ob_title_ce?th=1" TargetMode="External"/><Relationship Id="rId3" Type="http://schemas.openxmlformats.org/officeDocument/2006/relationships/hyperlink" Target="https://www.amazon.fr/dp/B0CN3MRV16/?coliid=IOECF3FIPP3AJ&amp;colid=3TPY2TASCROU9&amp;psc=1&amp;ref_=list_c_wl_lv_ov_lig_dp_it" TargetMode="External"/><Relationship Id="rId7" Type="http://schemas.openxmlformats.org/officeDocument/2006/relationships/hyperlink" Target="https://www.amazon.fr/dp/B0C1FY87PY/?coliid=I2GT1ZJJVSK5UZ&amp;colid=3TPY2TASCROU9&amp;ref_=list_c_wl_lv_ov_lig_dp_it&amp;th=1" TargetMode="External"/><Relationship Id="rId2" Type="http://schemas.openxmlformats.org/officeDocument/2006/relationships/hyperlink" Target="https://www.amazon.fr/dp/B0CLXZBR5P/?coliid=I2N8E7SZ11DO1G&amp;colid=3TPY2TASCROU9&amp;psc=1&amp;ref_=list_c_wl_lv_ov_lig_dp_it" TargetMode="External"/><Relationship Id="rId1" Type="http://schemas.openxmlformats.org/officeDocument/2006/relationships/hyperlink" Target="https://amazon.fr/dp/B0CK2FCG1K/?coliid=I3BJO1ZEMPHWGM&amp;colid=3TPY2TASCROU9&amp;psc=1&amp;ref_=list_c_wl_lv_ov_lig_dp_it" TargetMode="External"/><Relationship Id="rId6" Type="http://schemas.openxmlformats.org/officeDocument/2006/relationships/hyperlink" Target="https://www.amazon.fr/dp/B0CVVFRMRH/?coliid=IHHCGDJM1NAOU&amp;colid=3TPY2TASCROU9&amp;psc=1&amp;ref_=list_c_wl_lv_ov_lig_dp_it" TargetMode="External"/><Relationship Id="rId5" Type="http://schemas.openxmlformats.org/officeDocument/2006/relationships/hyperlink" Target="https://www.amazon.fr/dp/B0DPPRV85Q/?coliid=I3OCTQYNZHPYYY&amp;colid=3TPY2TASCROU9&amp;psc=1&amp;ref_=list_c_wl_lv_ov_lig_dp_it" TargetMode="External"/><Relationship Id="rId4" Type="http://schemas.openxmlformats.org/officeDocument/2006/relationships/hyperlink" Target="https://www.amazon.fr/dp/B0FD6QHTQV/?coliid=I2O6DFX5G30TMU&amp;colid=3TPY2TASCROU9&amp;psc=1&amp;ref_=list_c_wl_lv_ov_lig_dp_it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uyepaper.com/products/esp32-fts02" TargetMode="External"/><Relationship Id="rId3" Type="http://schemas.openxmlformats.org/officeDocument/2006/relationships/hyperlink" Target="https://www.amazon.fr/dp/B0CN3MRV16/?coliid=IOECF3FIPP3AJ&amp;colid=3TPY2TASCROU9&amp;psc=1&amp;ref_=list_c_wl_lv_ov_lig_dp_it" TargetMode="External"/><Relationship Id="rId7" Type="http://schemas.openxmlformats.org/officeDocument/2006/relationships/hyperlink" Target="https://buyepaper.com/products/gdey037t03-ft21" TargetMode="External"/><Relationship Id="rId2" Type="http://schemas.openxmlformats.org/officeDocument/2006/relationships/hyperlink" Target="https://www.amazon.fr/dp/B0CLXZBR5P/?coliid=I2N8E7SZ11DO1G&amp;colid=3TPY2TASCROU9&amp;psc=1&amp;ref_=list_c_wl_lv_ov_lig_dp_it" TargetMode="External"/><Relationship Id="rId1" Type="http://schemas.openxmlformats.org/officeDocument/2006/relationships/hyperlink" Target="https://amazon.fr/dp/B0CK2FCG1K/?coliid=I3BJO1ZEMPHWGM&amp;colid=3TPY2TASCROU9&amp;psc=1&amp;ref_=list_c_wl_lv_ov_lig_dp_it" TargetMode="External"/><Relationship Id="rId6" Type="http://schemas.openxmlformats.org/officeDocument/2006/relationships/hyperlink" Target="https://www.amazon.fr/SONOFF-Coordinator-Universelle-Passerelle-Assistant-dp-B09KXTCMSC/dp/B09KXTCMSC/ref=dp_ob_title_ce?th=1" TargetMode="External"/><Relationship Id="rId11" Type="http://schemas.openxmlformats.org/officeDocument/2006/relationships/hyperlink" Target="https://www.amazon.fr/dp/B0D5CJK1YS/?coliid=IQJD6AI77IXKL&amp;colid=3TPY2TASCROU9&amp;psc=1&amp;ref_=list_c_wl_lv_ov_lig_dp_it" TargetMode="External"/><Relationship Id="rId5" Type="http://schemas.openxmlformats.org/officeDocument/2006/relationships/hyperlink" Target="https://www.amazon.fr/dp/B0DPPRV85Q/?coliid=I3OCTQYNZHPYYY&amp;colid=3TPY2TASCROU9&amp;psc=1&amp;ref_=list_c_wl_lv_ov_lig_dp_it" TargetMode="External"/><Relationship Id="rId10" Type="http://schemas.openxmlformats.org/officeDocument/2006/relationships/hyperlink" Target="https://www.amazon.fr/dp/B0DJP3987K/?coliid=I33BL9KV6KKYW5&amp;colid=3TPY2TASCROU9&amp;psc=1&amp;ref_=list_c_wl_lv_ov_lig_dp_it" TargetMode="External"/><Relationship Id="rId4" Type="http://schemas.openxmlformats.org/officeDocument/2006/relationships/hyperlink" Target="https://www.amazon.fr/dp/B0FD6QHTQV/?coliid=I2O6DFX5G30TMU&amp;colid=3TPY2TASCROU9&amp;psc=1&amp;ref_=list_c_wl_lv_ov_lig_dp_it" TargetMode="External"/><Relationship Id="rId9" Type="http://schemas.openxmlformats.org/officeDocument/2006/relationships/hyperlink" Target="https://www.amazon.fr/Fayrimi-BMP280-capteurs-temp%C3%A9rature-num%C3%A9rique/dp/B0BJF3L9CS/ref=sr_1_25?dib=eyJ2IjoiMSJ9.zbUZyNts_RUi6_Uc4l97OK7RKFQBiF6ZVEooZqaJDx5xjxcNN4KVutfk9vtZFRBP60PRxmXkSqWYHvtqBb4UOvGQOHrBC6LWQNplFCXE8a1dX59wI2j-fj6zuSAWMlykN2QmgaEaM-2Pb7vgsTvfQ_q6BJXmUcSCqpWqFT5AFxXuBJmb1lPBs1PmC3UYVkQcOAoiRCpGIi13t57B61t3eKyzM8gbv5R1jVs0XtlSuBk5jHa7rzp9d2WLA9SPRYgCAoCCxjv1f1abX8_3Su4PnUYUGoo7-kHhjVGCIcixDZg.8jtYXWSWPCbmFI2c84KPMbxg7S7BBtcvzVFL-q90MuM&amp;dib_tag=se&amp;keywords=BMP280&amp;qid=1768404593&amp;sr=8-2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uyepaper.com/products/esp32-fts02" TargetMode="External"/><Relationship Id="rId3" Type="http://schemas.openxmlformats.org/officeDocument/2006/relationships/hyperlink" Target="https://www.amazon.fr/dp/B0CN3MRV16/?coliid=IOECF3FIPP3AJ&amp;colid=3TPY2TASCROU9&amp;psc=1&amp;ref_=list_c_wl_lv_ov_lig_dp_it" TargetMode="External"/><Relationship Id="rId7" Type="http://schemas.openxmlformats.org/officeDocument/2006/relationships/hyperlink" Target="https://buyepaper.com/products/gdey037t03-ft21" TargetMode="External"/><Relationship Id="rId2" Type="http://schemas.openxmlformats.org/officeDocument/2006/relationships/hyperlink" Target="https://www.amazon.fr/dp/B0CLXZBR5P/?coliid=I2N8E7SZ11DO1G&amp;colid=3TPY2TASCROU9&amp;psc=1&amp;ref_=list_c_wl_lv_ov_lig_dp_it" TargetMode="External"/><Relationship Id="rId1" Type="http://schemas.openxmlformats.org/officeDocument/2006/relationships/hyperlink" Target="https://amazon.fr/dp/B0CK2FCG1K/?coliid=I3BJO1ZEMPHWGM&amp;colid=3TPY2TASCROU9&amp;psc=1&amp;ref_=list_c_wl_lv_ov_lig_dp_it" TargetMode="External"/><Relationship Id="rId6" Type="http://schemas.openxmlformats.org/officeDocument/2006/relationships/hyperlink" Target="https://www.amazon.fr/SONOFF-Coordinator-Universelle-Passerelle-Assistant-dp-B09KXTCMSC/dp/B09KXTCMSC/ref=dp_ob_title_ce?th=1" TargetMode="External"/><Relationship Id="rId11" Type="http://schemas.openxmlformats.org/officeDocument/2006/relationships/hyperlink" Target="https://www.amazon.fr/dp/B0D5CJK1YS/?coliid=IQJD6AI77IXKL&amp;colid=3TPY2TASCROU9&amp;psc=1&amp;ref_=list_c_wl_lv_ov_lig_dp_it" TargetMode="External"/><Relationship Id="rId5" Type="http://schemas.openxmlformats.org/officeDocument/2006/relationships/hyperlink" Target="https://www.amazon.fr/dp/B0DPPRV85Q/?coliid=I3OCTQYNZHPYYY&amp;colid=3TPY2TASCROU9&amp;psc=1&amp;ref_=list_c_wl_lv_ov_lig_dp_it" TargetMode="External"/><Relationship Id="rId10" Type="http://schemas.openxmlformats.org/officeDocument/2006/relationships/hyperlink" Target="https://www.amazon.fr/dp/B0DJP3987K/?coliid=I33BL9KV6KKYW5&amp;colid=3TPY2TASCROU9&amp;psc=1&amp;ref_=list_c_wl_lv_ov_lig_dp_it" TargetMode="External"/><Relationship Id="rId4" Type="http://schemas.openxmlformats.org/officeDocument/2006/relationships/hyperlink" Target="https://www.amazon.fr/dp/B0FD6QHTQV/?coliid=I2O6DFX5G30TMU&amp;colid=3TPY2TASCROU9&amp;psc=1&amp;ref_=list_c_wl_lv_ov_lig_dp_it" TargetMode="External"/><Relationship Id="rId9" Type="http://schemas.openxmlformats.org/officeDocument/2006/relationships/hyperlink" Target="https://www.amazon.fr/Fayrimi-BMP280-capteurs-temp%C3%A9rature-num%C3%A9rique/dp/B0BJF3L9CS/ref=sr_1_25?dib=eyJ2IjoiMSJ9.zbUZyNts_RUi6_Uc4l97OK7RKFQBiF6ZVEooZqaJDx5xjxcNN4KVutfk9vtZFRBP60PRxmXkSqWYHvtqBb4UOvGQOHrBC6LWQNplFCXE8a1dX59wI2j-fj6zuSAWMlykN2QmgaEaM-2Pb7vgsTvfQ_q6BJXmUcSCqpWqFT5AFxXuBJmb1lPBs1PmC3UYVkQcOAoiRCpGIi13t57B61t3eKyzM8gbv5R1jVs0XtlSuBk5jHa7rzp9d2WLA9SPRYgCAoCCxjv1f1abX8_3Su4PnUYUGoo7-kHhjVGCIcixDZg.8jtYXWSWPCbmFI2c84KPMbxg7S7BBtcvzVFL-q90MuM&amp;dib_tag=se&amp;keywords=BMP280&amp;qid=1768404593&amp;sr=8-2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E19" sqref="A19:E19"/>
    </sheetView>
  </sheetViews>
  <sheetFormatPr baseColWidth="10" defaultColWidth="9.1640625" defaultRowHeight="15" x14ac:dyDescent="0.2"/>
  <cols>
    <col min="1" max="1" width="13.33203125" customWidth="1"/>
    <col min="2" max="2" width="57.6640625" bestFit="1" customWidth="1"/>
    <col min="3" max="3" width="9.5" style="2" bestFit="1" customWidth="1"/>
    <col min="4" max="4" width="23.5" customWidth="1"/>
    <col min="5" max="5" width="54.5" bestFit="1" customWidth="1"/>
  </cols>
  <sheetData>
    <row r="1" spans="1:5" ht="16" thickBot="1" x14ac:dyDescent="0.25">
      <c r="B1" s="15" t="s">
        <v>0</v>
      </c>
      <c r="C1" s="16" t="s">
        <v>1</v>
      </c>
      <c r="D1" s="15" t="s">
        <v>2</v>
      </c>
      <c r="E1" s="15" t="s">
        <v>3</v>
      </c>
    </row>
    <row r="2" spans="1:5" ht="15" customHeight="1" x14ac:dyDescent="0.2">
      <c r="A2" s="39" t="s">
        <v>16</v>
      </c>
      <c r="B2" s="9" t="s">
        <v>6</v>
      </c>
      <c r="C2" s="10">
        <v>108.03</v>
      </c>
      <c r="D2" s="17" t="s">
        <v>4</v>
      </c>
      <c r="E2" s="9" t="s">
        <v>5</v>
      </c>
    </row>
    <row r="3" spans="1:5" x14ac:dyDescent="0.2">
      <c r="A3" s="39"/>
      <c r="B3" s="3" t="s">
        <v>11</v>
      </c>
      <c r="C3" s="4">
        <v>10.75</v>
      </c>
      <c r="D3" s="5" t="s">
        <v>10</v>
      </c>
      <c r="E3" s="3" t="s">
        <v>5</v>
      </c>
    </row>
    <row r="4" spans="1:5" x14ac:dyDescent="0.2">
      <c r="A4" s="39"/>
      <c r="B4" s="3" t="s">
        <v>13</v>
      </c>
      <c r="C4" s="4">
        <v>16.829999999999998</v>
      </c>
      <c r="D4" s="5" t="s">
        <v>12</v>
      </c>
      <c r="E4" s="3" t="s">
        <v>5</v>
      </c>
    </row>
    <row r="5" spans="1:5" ht="16" thickBot="1" x14ac:dyDescent="0.25">
      <c r="A5" s="6"/>
      <c r="B5" s="7"/>
      <c r="C5" s="8"/>
      <c r="D5" s="7"/>
      <c r="E5" s="7"/>
    </row>
    <row r="6" spans="1:5" ht="16" thickBot="1" x14ac:dyDescent="0.25">
      <c r="A6" s="11" t="s">
        <v>14</v>
      </c>
      <c r="B6" s="12"/>
      <c r="C6" s="13">
        <f>SUM(C2:C5)</f>
        <v>135.61000000000001</v>
      </c>
      <c r="D6" s="12"/>
      <c r="E6" s="14"/>
    </row>
    <row r="7" spans="1:5" x14ac:dyDescent="0.2">
      <c r="A7" s="9"/>
      <c r="B7" s="9"/>
      <c r="C7" s="10"/>
      <c r="D7" s="9"/>
      <c r="E7" s="9"/>
    </row>
    <row r="8" spans="1:5" x14ac:dyDescent="0.2">
      <c r="A8" s="39" t="s">
        <v>21</v>
      </c>
      <c r="B8" s="3" t="s">
        <v>8</v>
      </c>
      <c r="C8" s="4">
        <v>16.989999999999998</v>
      </c>
      <c r="D8" s="3" t="s">
        <v>7</v>
      </c>
      <c r="E8" s="3" t="s">
        <v>15</v>
      </c>
    </row>
    <row r="9" spans="1:5" x14ac:dyDescent="0.2">
      <c r="A9" s="39"/>
      <c r="B9" s="3" t="s">
        <v>9</v>
      </c>
      <c r="C9" s="4">
        <v>31.99</v>
      </c>
      <c r="D9" s="5" t="s">
        <v>18</v>
      </c>
      <c r="E9" s="3" t="s">
        <v>19</v>
      </c>
    </row>
    <row r="10" spans="1:5" x14ac:dyDescent="0.2">
      <c r="A10" s="39"/>
      <c r="B10" s="3" t="s">
        <v>20</v>
      </c>
      <c r="C10" s="4">
        <v>57.99</v>
      </c>
      <c r="D10" s="5" t="s">
        <v>17</v>
      </c>
      <c r="E10" s="3" t="s">
        <v>22</v>
      </c>
    </row>
    <row r="11" spans="1:5" ht="16" thickBot="1" x14ac:dyDescent="0.25">
      <c r="A11" s="7"/>
      <c r="B11" s="7"/>
      <c r="C11" s="8"/>
      <c r="D11" s="7"/>
      <c r="E11" s="7"/>
    </row>
    <row r="12" spans="1:5" ht="16" thickBot="1" x14ac:dyDescent="0.25">
      <c r="A12" s="11" t="s">
        <v>14</v>
      </c>
      <c r="B12" s="12"/>
      <c r="C12" s="13">
        <f>SUM(C8:C11)</f>
        <v>106.97</v>
      </c>
      <c r="D12" s="12"/>
      <c r="E12" s="14"/>
    </row>
    <row r="13" spans="1:5" x14ac:dyDescent="0.2">
      <c r="A13" s="9"/>
      <c r="B13" s="9"/>
      <c r="C13" s="10"/>
      <c r="D13" s="9"/>
      <c r="E13" s="9"/>
    </row>
    <row r="14" spans="1:5" x14ac:dyDescent="0.2">
      <c r="A14" s="39" t="s">
        <v>27</v>
      </c>
      <c r="B14" s="3" t="s">
        <v>24</v>
      </c>
      <c r="C14" s="4">
        <v>11.99</v>
      </c>
      <c r="D14" s="5" t="s">
        <v>23</v>
      </c>
      <c r="E14" s="3" t="s">
        <v>28</v>
      </c>
    </row>
    <row r="15" spans="1:5" x14ac:dyDescent="0.2">
      <c r="A15" s="39"/>
      <c r="B15" s="3" t="s">
        <v>25</v>
      </c>
      <c r="C15" s="4">
        <v>16.989999999999998</v>
      </c>
      <c r="D15" s="5" t="s">
        <v>26</v>
      </c>
      <c r="E15" s="3" t="s">
        <v>29</v>
      </c>
    </row>
    <row r="16" spans="1:5" ht="16" thickBot="1" x14ac:dyDescent="0.25">
      <c r="A16" s="7"/>
      <c r="B16" s="7"/>
      <c r="C16" s="8"/>
      <c r="D16" s="7"/>
      <c r="E16" s="7"/>
    </row>
    <row r="17" spans="1:5" ht="16" thickBot="1" x14ac:dyDescent="0.25">
      <c r="A17" s="11" t="s">
        <v>14</v>
      </c>
      <c r="B17" s="12"/>
      <c r="C17" s="13">
        <f>SUM(C14:C16)</f>
        <v>28.979999999999997</v>
      </c>
      <c r="D17" s="12"/>
      <c r="E17" s="14"/>
    </row>
    <row r="18" spans="1:5" x14ac:dyDescent="0.2">
      <c r="A18" s="9"/>
      <c r="B18" s="9"/>
      <c r="C18" s="10"/>
      <c r="D18" s="9"/>
      <c r="E18" s="9"/>
    </row>
    <row r="19" spans="1:5" x14ac:dyDescent="0.2">
      <c r="A19" s="3" t="s">
        <v>32</v>
      </c>
      <c r="B19" s="3" t="s">
        <v>31</v>
      </c>
      <c r="C19" s="4">
        <v>22.79</v>
      </c>
      <c r="D19" s="5" t="s">
        <v>30</v>
      </c>
      <c r="E19" s="3" t="s">
        <v>5</v>
      </c>
    </row>
    <row r="20" spans="1:5" ht="16" thickBot="1" x14ac:dyDescent="0.25">
      <c r="A20" s="7"/>
      <c r="B20" s="7"/>
      <c r="C20" s="8"/>
      <c r="D20" s="7"/>
      <c r="E20" s="7"/>
    </row>
    <row r="21" spans="1:5" ht="16" thickBot="1" x14ac:dyDescent="0.25">
      <c r="A21" s="11" t="s">
        <v>14</v>
      </c>
      <c r="B21" s="12"/>
      <c r="C21" s="13">
        <f>SUM(C19:C20)</f>
        <v>22.79</v>
      </c>
      <c r="D21" s="12"/>
      <c r="E21" s="14"/>
    </row>
    <row r="23" spans="1:5" x14ac:dyDescent="0.2">
      <c r="A23" s="1" t="s">
        <v>33</v>
      </c>
      <c r="C23" s="2">
        <f>C21+C17+C12+C6</f>
        <v>294.35000000000002</v>
      </c>
    </row>
  </sheetData>
  <mergeCells count="3">
    <mergeCell ref="A2:A4"/>
    <mergeCell ref="A8:A10"/>
    <mergeCell ref="A14:A15"/>
  </mergeCells>
  <hyperlinks>
    <hyperlink ref="D2" r:id="rId1" xr:uid="{BF29B313-5919-4075-9BCD-395D0648F52B}"/>
    <hyperlink ref="D3" r:id="rId2" xr:uid="{38FE183F-CE13-4C35-AC54-4C1E5EACF2A6}"/>
    <hyperlink ref="D4" r:id="rId3" xr:uid="{6F29DAA4-28F0-412B-8EBD-753331E1C4D9}"/>
    <hyperlink ref="D10" r:id="rId4" xr:uid="{AA87CB80-1519-48EB-BBE4-C89FD11F8D47}"/>
    <hyperlink ref="D9" r:id="rId5" xr:uid="{42CCEA21-EA7A-4818-8BF3-8775116C43F1}"/>
    <hyperlink ref="D14" r:id="rId6" xr:uid="{F893BA81-1355-4614-9F34-3AD0FA46DB6A}"/>
    <hyperlink ref="D15" r:id="rId7" xr:uid="{B4EFEEE7-B6EF-4DEE-A89C-ECB69B092B01}"/>
    <hyperlink ref="D19" r:id="rId8" xr:uid="{2CA4F08B-E9C4-4772-A431-8E22646CAB94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F373-AAF1-47DD-BE7D-DDDF56E30668}">
  <dimension ref="A1:L22"/>
  <sheetViews>
    <sheetView workbookViewId="0">
      <selection activeCell="N20" sqref="N20"/>
    </sheetView>
  </sheetViews>
  <sheetFormatPr baseColWidth="10" defaultRowHeight="15" x14ac:dyDescent="0.2"/>
  <cols>
    <col min="3" max="3" width="57.6640625" bestFit="1" customWidth="1"/>
    <col min="4" max="4" width="18" bestFit="1" customWidth="1"/>
    <col min="5" max="5" width="54.1640625" bestFit="1" customWidth="1"/>
    <col min="6" max="6" width="27.5" customWidth="1"/>
    <col min="9" max="9" width="11.5" style="19"/>
    <col min="10" max="10" width="11.5" style="18"/>
    <col min="12" max="12" width="11.5" style="2"/>
  </cols>
  <sheetData>
    <row r="1" spans="1:12" x14ac:dyDescent="0.2">
      <c r="A1" s="40" t="s">
        <v>44</v>
      </c>
      <c r="B1" s="40"/>
      <c r="C1" s="40"/>
      <c r="D1" s="40"/>
      <c r="E1" s="40"/>
      <c r="F1" s="40"/>
      <c r="G1" s="40"/>
      <c r="H1" s="40"/>
      <c r="I1" s="40"/>
      <c r="J1" s="40"/>
    </row>
    <row r="2" spans="1:12" x14ac:dyDescent="0.2">
      <c r="A2" s="21" t="s">
        <v>42</v>
      </c>
      <c r="B2" s="21" t="s">
        <v>43</v>
      </c>
      <c r="C2" s="21" t="s">
        <v>40</v>
      </c>
      <c r="D2" s="21" t="s">
        <v>41</v>
      </c>
      <c r="E2" s="21" t="s">
        <v>34</v>
      </c>
      <c r="F2" s="21" t="s">
        <v>39</v>
      </c>
      <c r="G2" s="21" t="s">
        <v>35</v>
      </c>
      <c r="H2" s="21" t="s">
        <v>36</v>
      </c>
      <c r="I2" s="22" t="s">
        <v>37</v>
      </c>
      <c r="J2" s="23" t="s">
        <v>38</v>
      </c>
    </row>
    <row r="3" spans="1:12" x14ac:dyDescent="0.2">
      <c r="A3" s="48" t="s">
        <v>45</v>
      </c>
      <c r="B3" s="39" t="s">
        <v>16</v>
      </c>
      <c r="C3" s="3" t="s">
        <v>6</v>
      </c>
      <c r="D3" s="3" t="s">
        <v>5</v>
      </c>
      <c r="E3" s="3"/>
      <c r="F3" s="5" t="s">
        <v>4</v>
      </c>
      <c r="G3" s="3">
        <v>1</v>
      </c>
      <c r="H3" s="3">
        <v>1</v>
      </c>
      <c r="I3" s="4">
        <v>108.03</v>
      </c>
      <c r="J3" s="24">
        <f>H3*I3*G3</f>
        <v>108.03</v>
      </c>
    </row>
    <row r="4" spans="1:12" x14ac:dyDescent="0.2">
      <c r="A4" s="49"/>
      <c r="B4" s="39"/>
      <c r="C4" s="3" t="s">
        <v>11</v>
      </c>
      <c r="D4" s="3" t="s">
        <v>5</v>
      </c>
      <c r="E4" s="3"/>
      <c r="F4" s="5" t="s">
        <v>10</v>
      </c>
      <c r="G4" s="3">
        <v>1</v>
      </c>
      <c r="H4" s="3">
        <v>1</v>
      </c>
      <c r="I4" s="4">
        <v>10.75</v>
      </c>
      <c r="J4" s="24">
        <f t="shared" ref="J4:J20" si="0">H4*I4*G4</f>
        <v>10.75</v>
      </c>
    </row>
    <row r="5" spans="1:12" ht="16" thickBot="1" x14ac:dyDescent="0.25">
      <c r="A5" s="49"/>
      <c r="B5" s="42"/>
      <c r="C5" s="7" t="s">
        <v>13</v>
      </c>
      <c r="D5" s="7" t="s">
        <v>5</v>
      </c>
      <c r="E5" s="7"/>
      <c r="F5" s="25" t="s">
        <v>12</v>
      </c>
      <c r="G5" s="7">
        <v>1</v>
      </c>
      <c r="H5" s="7">
        <v>1</v>
      </c>
      <c r="I5" s="8">
        <v>16.829999999999998</v>
      </c>
      <c r="J5" s="26">
        <f t="shared" si="0"/>
        <v>16.829999999999998</v>
      </c>
    </row>
    <row r="6" spans="1:12" ht="16" thickBot="1" x14ac:dyDescent="0.25">
      <c r="A6" s="49"/>
      <c r="B6" s="43" t="s">
        <v>76</v>
      </c>
      <c r="C6" s="44"/>
      <c r="D6" s="44"/>
      <c r="E6" s="44"/>
      <c r="F6" s="44"/>
      <c r="G6" s="44"/>
      <c r="H6" s="44"/>
      <c r="I6" s="12"/>
      <c r="J6" s="28">
        <f>SUM(J3:J5)</f>
        <v>135.61000000000001</v>
      </c>
      <c r="L6" s="2">
        <f>J6</f>
        <v>135.61000000000001</v>
      </c>
    </row>
    <row r="7" spans="1:12" x14ac:dyDescent="0.2">
      <c r="A7" s="49"/>
      <c r="B7" s="41" t="s">
        <v>21</v>
      </c>
      <c r="C7" s="9" t="s">
        <v>8</v>
      </c>
      <c r="D7" s="9" t="s">
        <v>5</v>
      </c>
      <c r="E7" s="9" t="s">
        <v>15</v>
      </c>
      <c r="F7" s="9" t="s">
        <v>7</v>
      </c>
      <c r="G7" s="9">
        <v>1</v>
      </c>
      <c r="H7" s="9">
        <v>1</v>
      </c>
      <c r="I7" s="10">
        <v>16.989999999999998</v>
      </c>
      <c r="J7" s="27">
        <f t="shared" si="0"/>
        <v>16.989999999999998</v>
      </c>
    </row>
    <row r="8" spans="1:12" x14ac:dyDescent="0.2">
      <c r="A8" s="49"/>
      <c r="B8" s="39"/>
      <c r="C8" s="3" t="s">
        <v>9</v>
      </c>
      <c r="D8" s="3" t="s">
        <v>5</v>
      </c>
      <c r="E8" s="3" t="s">
        <v>19</v>
      </c>
      <c r="F8" s="5" t="s">
        <v>18</v>
      </c>
      <c r="G8" s="3">
        <v>1</v>
      </c>
      <c r="H8" s="3">
        <v>1</v>
      </c>
      <c r="I8" s="4">
        <v>31.99</v>
      </c>
      <c r="J8" s="24">
        <f t="shared" si="0"/>
        <v>31.99</v>
      </c>
    </row>
    <row r="9" spans="1:12" ht="16" thickBot="1" x14ac:dyDescent="0.25">
      <c r="A9" s="49"/>
      <c r="B9" s="42"/>
      <c r="C9" s="7" t="s">
        <v>20</v>
      </c>
      <c r="D9" s="7" t="s">
        <v>5</v>
      </c>
      <c r="E9" s="7" t="s">
        <v>22</v>
      </c>
      <c r="F9" s="25" t="s">
        <v>17</v>
      </c>
      <c r="G9" s="7">
        <v>1</v>
      </c>
      <c r="H9" s="7">
        <v>1</v>
      </c>
      <c r="I9" s="8">
        <v>57.99</v>
      </c>
      <c r="J9" s="26">
        <f t="shared" si="0"/>
        <v>57.99</v>
      </c>
    </row>
    <row r="10" spans="1:12" ht="16" thickBot="1" x14ac:dyDescent="0.25">
      <c r="A10" s="49"/>
      <c r="B10" s="43" t="s">
        <v>76</v>
      </c>
      <c r="C10" s="44"/>
      <c r="D10" s="44"/>
      <c r="E10" s="44"/>
      <c r="F10" s="44"/>
      <c r="G10" s="44"/>
      <c r="H10" s="45"/>
      <c r="I10" s="29"/>
      <c r="J10" s="28">
        <f>SUM(J7:J9)</f>
        <v>106.97</v>
      </c>
    </row>
    <row r="11" spans="1:12" ht="17" thickBot="1" x14ac:dyDescent="0.25">
      <c r="A11" s="49"/>
      <c r="B11" s="30" t="s">
        <v>32</v>
      </c>
      <c r="C11" s="31" t="s">
        <v>31</v>
      </c>
      <c r="D11" s="31" t="s">
        <v>289</v>
      </c>
      <c r="E11" s="32"/>
      <c r="F11" s="32" t="s">
        <v>30</v>
      </c>
      <c r="G11" s="31">
        <v>1</v>
      </c>
      <c r="H11" s="31">
        <v>1</v>
      </c>
      <c r="I11" s="33">
        <v>22.79</v>
      </c>
      <c r="J11" s="34">
        <f t="shared" si="0"/>
        <v>22.79</v>
      </c>
    </row>
    <row r="12" spans="1:12" ht="16" thickBot="1" x14ac:dyDescent="0.25">
      <c r="A12" s="49"/>
      <c r="B12" s="43" t="s">
        <v>76</v>
      </c>
      <c r="C12" s="44"/>
      <c r="D12" s="44"/>
      <c r="E12" s="44"/>
      <c r="F12" s="44"/>
      <c r="G12" s="44"/>
      <c r="H12" s="45"/>
      <c r="I12" s="29"/>
      <c r="J12" s="28">
        <f>SUM(J11)</f>
        <v>22.79</v>
      </c>
      <c r="L12" s="2">
        <f>J12</f>
        <v>22.79</v>
      </c>
    </row>
    <row r="13" spans="1:12" ht="15" customHeight="1" x14ac:dyDescent="0.2">
      <c r="A13" s="49"/>
      <c r="B13" s="41" t="s">
        <v>46</v>
      </c>
      <c r="C13" s="9" t="s">
        <v>48</v>
      </c>
      <c r="D13" s="9" t="s">
        <v>50</v>
      </c>
      <c r="E13" s="9" t="s">
        <v>49</v>
      </c>
      <c r="F13" s="17" t="s">
        <v>47</v>
      </c>
      <c r="G13" s="9">
        <v>1</v>
      </c>
      <c r="H13" s="9">
        <v>1</v>
      </c>
      <c r="I13" s="35">
        <v>19</v>
      </c>
      <c r="J13" s="27">
        <f t="shared" si="0"/>
        <v>19</v>
      </c>
    </row>
    <row r="14" spans="1:12" x14ac:dyDescent="0.2">
      <c r="A14" s="49"/>
      <c r="B14" s="39"/>
      <c r="C14" s="3" t="s">
        <v>52</v>
      </c>
      <c r="D14" s="3" t="s">
        <v>54</v>
      </c>
      <c r="E14" s="3" t="s">
        <v>53</v>
      </c>
      <c r="F14" s="5" t="s">
        <v>51</v>
      </c>
      <c r="G14" s="3">
        <v>1</v>
      </c>
      <c r="H14" s="3">
        <v>1</v>
      </c>
      <c r="I14" s="20">
        <v>10</v>
      </c>
      <c r="J14" s="24">
        <f t="shared" si="0"/>
        <v>10</v>
      </c>
    </row>
    <row r="15" spans="1:12" x14ac:dyDescent="0.2">
      <c r="A15" s="49"/>
      <c r="B15" s="39"/>
      <c r="C15" s="3" t="s">
        <v>56</v>
      </c>
      <c r="D15" s="3" t="s">
        <v>56</v>
      </c>
      <c r="E15" s="3" t="s">
        <v>61</v>
      </c>
      <c r="F15" s="3" t="s">
        <v>55</v>
      </c>
      <c r="G15" s="3">
        <v>1</v>
      </c>
      <c r="H15" s="3">
        <v>2</v>
      </c>
      <c r="I15" s="20">
        <v>6.5</v>
      </c>
      <c r="J15" s="24">
        <f t="shared" si="0"/>
        <v>13</v>
      </c>
      <c r="L15" s="2">
        <f>J15</f>
        <v>13</v>
      </c>
    </row>
    <row r="16" spans="1:12" x14ac:dyDescent="0.2">
      <c r="A16" s="49"/>
      <c r="B16" s="39"/>
      <c r="C16" s="3" t="s">
        <v>59</v>
      </c>
      <c r="D16" s="3" t="s">
        <v>58</v>
      </c>
      <c r="E16" s="3" t="s">
        <v>60</v>
      </c>
      <c r="F16" s="5" t="s">
        <v>57</v>
      </c>
      <c r="G16" s="3">
        <v>1</v>
      </c>
      <c r="H16" s="3">
        <v>3</v>
      </c>
      <c r="I16" s="20">
        <v>3.15</v>
      </c>
      <c r="J16" s="24">
        <f t="shared" si="0"/>
        <v>9.4499999999999993</v>
      </c>
      <c r="L16" s="2">
        <f>J16</f>
        <v>9.4499999999999993</v>
      </c>
    </row>
    <row r="17" spans="1:12" x14ac:dyDescent="0.2">
      <c r="A17" s="49"/>
      <c r="B17" s="39"/>
      <c r="C17" s="3" t="s">
        <v>64</v>
      </c>
      <c r="D17" s="3" t="s">
        <v>62</v>
      </c>
      <c r="E17" s="3" t="s">
        <v>63</v>
      </c>
      <c r="F17" s="3"/>
      <c r="G17" s="3"/>
      <c r="H17" s="3"/>
      <c r="I17" s="20"/>
      <c r="J17" s="24">
        <v>10</v>
      </c>
    </row>
    <row r="18" spans="1:12" x14ac:dyDescent="0.2">
      <c r="A18" s="49"/>
      <c r="B18" s="39"/>
      <c r="C18" s="3" t="s">
        <v>65</v>
      </c>
      <c r="D18" s="3" t="s">
        <v>66</v>
      </c>
      <c r="E18" s="3" t="s">
        <v>67</v>
      </c>
      <c r="F18" s="5" t="s">
        <v>68</v>
      </c>
      <c r="G18" s="3">
        <v>1</v>
      </c>
      <c r="H18" s="3">
        <v>1</v>
      </c>
      <c r="I18" s="20">
        <v>16.989999999999998</v>
      </c>
      <c r="J18" s="24">
        <f t="shared" si="0"/>
        <v>16.989999999999998</v>
      </c>
      <c r="L18" s="2">
        <f>J18</f>
        <v>16.989999999999998</v>
      </c>
    </row>
    <row r="19" spans="1:12" x14ac:dyDescent="0.2">
      <c r="A19" s="49"/>
      <c r="B19" s="39"/>
      <c r="C19" s="3" t="s">
        <v>69</v>
      </c>
      <c r="D19" s="3" t="s">
        <v>70</v>
      </c>
      <c r="E19" s="3" t="s">
        <v>71</v>
      </c>
      <c r="F19" s="5" t="s">
        <v>72</v>
      </c>
      <c r="G19" s="3">
        <v>1</v>
      </c>
      <c r="H19" s="3">
        <v>1</v>
      </c>
      <c r="I19" s="20">
        <v>20.99</v>
      </c>
      <c r="J19" s="24">
        <f t="shared" si="0"/>
        <v>20.99</v>
      </c>
    </row>
    <row r="20" spans="1:12" ht="16" thickBot="1" x14ac:dyDescent="0.25">
      <c r="A20" s="49"/>
      <c r="B20" s="42"/>
      <c r="C20" s="7" t="s">
        <v>74</v>
      </c>
      <c r="D20" s="7"/>
      <c r="E20" s="7" t="s">
        <v>75</v>
      </c>
      <c r="F20" s="7" t="s">
        <v>73</v>
      </c>
      <c r="G20" s="7">
        <v>1</v>
      </c>
      <c r="H20" s="7">
        <v>1</v>
      </c>
      <c r="I20" s="36">
        <v>9.99</v>
      </c>
      <c r="J20" s="26">
        <f t="shared" si="0"/>
        <v>9.99</v>
      </c>
    </row>
    <row r="21" spans="1:12" ht="16" thickBot="1" x14ac:dyDescent="0.25">
      <c r="A21" s="49"/>
      <c r="B21" s="46" t="s">
        <v>76</v>
      </c>
      <c r="C21" s="47"/>
      <c r="D21" s="47"/>
      <c r="E21" s="47"/>
      <c r="F21" s="47"/>
      <c r="G21" s="47"/>
      <c r="H21" s="47"/>
      <c r="I21" s="37"/>
      <c r="J21" s="38">
        <f>SUM(J13:J20)</f>
        <v>109.41999999999999</v>
      </c>
      <c r="L21" s="2">
        <f>L13+L14+L15+L16+L18</f>
        <v>39.44</v>
      </c>
    </row>
    <row r="22" spans="1:12" ht="16" thickBot="1" x14ac:dyDescent="0.25">
      <c r="A22" s="43" t="s">
        <v>77</v>
      </c>
      <c r="B22" s="44"/>
      <c r="C22" s="44"/>
      <c r="D22" s="44"/>
      <c r="E22" s="44"/>
      <c r="F22" s="44"/>
      <c r="G22" s="44"/>
      <c r="H22" s="44"/>
      <c r="I22" s="29"/>
      <c r="J22" s="28">
        <f>J21+J12+J10+J6</f>
        <v>374.78999999999996</v>
      </c>
      <c r="K22" s="2"/>
      <c r="L22" s="2">
        <f>L21+L12+L6</f>
        <v>197.84</v>
      </c>
    </row>
  </sheetData>
  <mergeCells count="10">
    <mergeCell ref="A1:J1"/>
    <mergeCell ref="B13:B20"/>
    <mergeCell ref="A22:H22"/>
    <mergeCell ref="B10:H10"/>
    <mergeCell ref="B6:H6"/>
    <mergeCell ref="B12:H12"/>
    <mergeCell ref="B21:H21"/>
    <mergeCell ref="A3:A21"/>
    <mergeCell ref="B3:B5"/>
    <mergeCell ref="B7:B9"/>
  </mergeCells>
  <hyperlinks>
    <hyperlink ref="F3" r:id="rId1" xr:uid="{C29792AB-6993-4FB3-BB91-A0C71559A391}"/>
    <hyperlink ref="F4" r:id="rId2" xr:uid="{6A78353F-1EF4-4776-824B-6B547E368F6B}"/>
    <hyperlink ref="F5" r:id="rId3" xr:uid="{678D4F8A-243B-46D2-A9EE-D7457CE72483}"/>
    <hyperlink ref="F9" r:id="rId4" xr:uid="{4056CDB9-EA55-41E3-B070-2E371FA0DBE8}"/>
    <hyperlink ref="F8" r:id="rId5" xr:uid="{66DC6B73-0B29-46C6-B17F-BBEC9B2408B3}"/>
    <hyperlink ref="F11" r:id="rId6" xr:uid="{C6048B7E-2CE3-4F94-87CD-672D2941B787}"/>
    <hyperlink ref="F13" r:id="rId7" xr:uid="{60395940-D071-4175-B0DD-DB2181D3A22F}"/>
    <hyperlink ref="F14" r:id="rId8" xr:uid="{777FCC2F-CE35-46F1-9E17-1790502A5750}"/>
    <hyperlink ref="F16" r:id="rId9" display="https://www.amazon.fr/Fayrimi-BMP280-capteurs-temp%C3%A9rature-num%C3%A9rique/dp/B0BJF3L9CS/ref=sr_1_25?dib=eyJ2IjoiMSJ9.zbUZyNts_RUi6_Uc4l97OK7RKFQBiF6ZVEooZqaJDx5xjxcNN4KVutfk9vtZFRBP60PRxmXkSqWYHvtqBb4UOvGQOHrBC6LWQNplFCXE8a1dX59wI2j-fj6zuSAWMlykN2QmgaEaM-2Pb7vgsTvfQ_q6BJXmUcSCqpWqFT5AFxXuBJmb1lPBs1PmC3UYVkQcOAoiRCpGIi13t57B61t3eKyzM8gbv5R1jVs0XtlSuBk5jHa7rzp9d2WLA9SPRYgCAoCCxjv1f1abX8_3Su4PnUYUGoo7-kHhjVGCIcixDZg.8jtYXWSWPCbmFI2c84KPMbxg7S7BBtcvzVFL-q90MuM&amp;dib_tag=se&amp;keywords=BMP280&amp;qid=1768404593&amp;sr=8-25" xr:uid="{6DDAF2EF-E563-45CD-9040-C8E426AAC99D}"/>
    <hyperlink ref="F18" r:id="rId10" xr:uid="{5382A167-AD40-467D-B783-7447C76F1E08}"/>
    <hyperlink ref="F19" r:id="rId11" xr:uid="{F8153C9F-03CB-4884-A76B-3C247DA97E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452C-63E2-4E4F-AE24-A01821640EAB}">
  <dimension ref="A1:M22"/>
  <sheetViews>
    <sheetView tabSelected="1" workbookViewId="0">
      <selection activeCell="C4" sqref="C4"/>
    </sheetView>
  </sheetViews>
  <sheetFormatPr baseColWidth="10" defaultRowHeight="15" x14ac:dyDescent="0.2"/>
  <cols>
    <col min="3" max="3" width="57.6640625" bestFit="1" customWidth="1"/>
    <col min="4" max="4" width="18" bestFit="1" customWidth="1"/>
    <col min="5" max="5" width="54.1640625" bestFit="1" customWidth="1"/>
    <col min="6" max="6" width="27.5" customWidth="1"/>
    <col min="9" max="9" width="10.83203125" style="19"/>
    <col min="10" max="10" width="10.83203125" style="18"/>
    <col min="12" max="12" width="10.83203125" style="2"/>
  </cols>
  <sheetData>
    <row r="1" spans="1:12" x14ac:dyDescent="0.2">
      <c r="A1" s="40" t="s">
        <v>44</v>
      </c>
      <c r="B1" s="40"/>
      <c r="C1" s="40"/>
      <c r="D1" s="40"/>
      <c r="E1" s="40"/>
      <c r="F1" s="40"/>
      <c r="G1" s="40"/>
      <c r="H1" s="40"/>
      <c r="I1" s="40"/>
      <c r="J1" s="40"/>
    </row>
    <row r="2" spans="1:12" x14ac:dyDescent="0.2">
      <c r="A2" s="21" t="s">
        <v>42</v>
      </c>
      <c r="B2" s="21" t="s">
        <v>43</v>
      </c>
      <c r="C2" s="21" t="s">
        <v>40</v>
      </c>
      <c r="D2" s="21" t="s">
        <v>41</v>
      </c>
      <c r="E2" s="21" t="s">
        <v>34</v>
      </c>
      <c r="F2" s="21" t="s">
        <v>39</v>
      </c>
      <c r="G2" s="21" t="s">
        <v>35</v>
      </c>
      <c r="H2" s="21" t="s">
        <v>36</v>
      </c>
      <c r="I2" s="22" t="s">
        <v>37</v>
      </c>
      <c r="J2" s="23" t="s">
        <v>38</v>
      </c>
    </row>
    <row r="3" spans="1:12" x14ac:dyDescent="0.2">
      <c r="A3" s="48" t="s">
        <v>45</v>
      </c>
      <c r="B3" s="39" t="s">
        <v>16</v>
      </c>
      <c r="C3" s="3" t="s">
        <v>392</v>
      </c>
      <c r="D3" s="3" t="s">
        <v>5</v>
      </c>
      <c r="E3" s="3"/>
      <c r="F3" s="5" t="s">
        <v>391</v>
      </c>
      <c r="G3" s="3">
        <v>1</v>
      </c>
      <c r="H3" s="3">
        <v>1</v>
      </c>
      <c r="I3" s="4">
        <v>169.96</v>
      </c>
      <c r="J3" s="24">
        <f>H3*I3*G3</f>
        <v>169.96</v>
      </c>
    </row>
    <row r="4" spans="1:12" x14ac:dyDescent="0.2">
      <c r="A4" s="49"/>
      <c r="B4" s="39"/>
      <c r="C4" s="3" t="s">
        <v>11</v>
      </c>
      <c r="D4" s="3" t="s">
        <v>5</v>
      </c>
      <c r="E4" s="3"/>
      <c r="F4" s="5" t="s">
        <v>10</v>
      </c>
      <c r="G4" s="3">
        <v>1</v>
      </c>
      <c r="H4" s="3">
        <v>1</v>
      </c>
      <c r="I4" s="4">
        <v>10.75</v>
      </c>
      <c r="J4" s="24">
        <f t="shared" ref="J4:J20" si="0">H4*I4*G4</f>
        <v>10.75</v>
      </c>
    </row>
    <row r="5" spans="1:12" ht="16" thickBot="1" x14ac:dyDescent="0.25">
      <c r="A5" s="49"/>
      <c r="B5" s="42"/>
      <c r="C5" s="7" t="s">
        <v>13</v>
      </c>
      <c r="D5" s="7" t="s">
        <v>5</v>
      </c>
      <c r="E5" s="7"/>
      <c r="F5" s="25" t="s">
        <v>12</v>
      </c>
      <c r="G5" s="7">
        <v>1</v>
      </c>
      <c r="H5" s="7">
        <v>1</v>
      </c>
      <c r="I5" s="8">
        <v>16.829999999999998</v>
      </c>
      <c r="J5" s="26">
        <f t="shared" si="0"/>
        <v>16.829999999999998</v>
      </c>
    </row>
    <row r="6" spans="1:12" ht="16" thickBot="1" x14ac:dyDescent="0.25">
      <c r="A6" s="49"/>
      <c r="B6" s="43" t="s">
        <v>76</v>
      </c>
      <c r="C6" s="44"/>
      <c r="D6" s="44"/>
      <c r="E6" s="44"/>
      <c r="F6" s="44"/>
      <c r="G6" s="44"/>
      <c r="H6" s="44"/>
      <c r="I6" s="12"/>
      <c r="J6" s="28">
        <f>SUM(J3:J5)</f>
        <v>197.54000000000002</v>
      </c>
      <c r="L6" s="2">
        <f>J6</f>
        <v>197.54000000000002</v>
      </c>
    </row>
    <row r="7" spans="1:12" x14ac:dyDescent="0.2">
      <c r="A7" s="49"/>
      <c r="B7" s="41" t="s">
        <v>21</v>
      </c>
      <c r="C7" s="9" t="s">
        <v>8</v>
      </c>
      <c r="D7" s="9" t="s">
        <v>5</v>
      </c>
      <c r="E7" s="9" t="s">
        <v>15</v>
      </c>
      <c r="F7" s="9" t="s">
        <v>7</v>
      </c>
      <c r="G7" s="9">
        <v>1</v>
      </c>
      <c r="H7" s="9">
        <v>1</v>
      </c>
      <c r="I7" s="10">
        <v>16.989999999999998</v>
      </c>
      <c r="J7" s="27">
        <f t="shared" si="0"/>
        <v>16.989999999999998</v>
      </c>
    </row>
    <row r="8" spans="1:12" x14ac:dyDescent="0.2">
      <c r="A8" s="49"/>
      <c r="B8" s="39"/>
      <c r="C8" s="3" t="s">
        <v>9</v>
      </c>
      <c r="D8" s="3" t="s">
        <v>5</v>
      </c>
      <c r="E8" s="3" t="s">
        <v>19</v>
      </c>
      <c r="F8" s="5" t="s">
        <v>18</v>
      </c>
      <c r="G8" s="3">
        <v>1</v>
      </c>
      <c r="H8" s="3">
        <v>1</v>
      </c>
      <c r="I8" s="4">
        <v>31.99</v>
      </c>
      <c r="J8" s="24">
        <f t="shared" si="0"/>
        <v>31.99</v>
      </c>
    </row>
    <row r="9" spans="1:12" ht="16" thickBot="1" x14ac:dyDescent="0.25">
      <c r="A9" s="49"/>
      <c r="B9" s="42"/>
      <c r="C9" s="7" t="s">
        <v>20</v>
      </c>
      <c r="D9" s="7" t="s">
        <v>5</v>
      </c>
      <c r="E9" s="7" t="s">
        <v>22</v>
      </c>
      <c r="F9" s="25" t="s">
        <v>17</v>
      </c>
      <c r="G9" s="7">
        <v>1</v>
      </c>
      <c r="H9" s="7">
        <v>1</v>
      </c>
      <c r="I9" s="8">
        <v>57.99</v>
      </c>
      <c r="J9" s="26">
        <f t="shared" si="0"/>
        <v>57.99</v>
      </c>
    </row>
    <row r="10" spans="1:12" ht="16" thickBot="1" x14ac:dyDescent="0.25">
      <c r="A10" s="49"/>
      <c r="B10" s="43" t="s">
        <v>76</v>
      </c>
      <c r="C10" s="44"/>
      <c r="D10" s="44"/>
      <c r="E10" s="44"/>
      <c r="F10" s="44"/>
      <c r="G10" s="44"/>
      <c r="H10" s="45"/>
      <c r="I10" s="29"/>
      <c r="J10" s="28">
        <f>SUM(J7:J9)</f>
        <v>106.97</v>
      </c>
    </row>
    <row r="11" spans="1:12" ht="17" thickBot="1" x14ac:dyDescent="0.25">
      <c r="A11" s="49"/>
      <c r="B11" s="30" t="s">
        <v>32</v>
      </c>
      <c r="C11" s="31" t="s">
        <v>31</v>
      </c>
      <c r="D11" s="31" t="s">
        <v>289</v>
      </c>
      <c r="E11" s="32"/>
      <c r="F11" s="32" t="s">
        <v>30</v>
      </c>
      <c r="G11" s="31">
        <v>1</v>
      </c>
      <c r="H11" s="31">
        <v>1</v>
      </c>
      <c r="I11" s="33">
        <v>22.79</v>
      </c>
      <c r="J11" s="34">
        <f t="shared" si="0"/>
        <v>22.79</v>
      </c>
    </row>
    <row r="12" spans="1:12" ht="16" thickBot="1" x14ac:dyDescent="0.25">
      <c r="A12" s="49"/>
      <c r="B12" s="43" t="s">
        <v>76</v>
      </c>
      <c r="C12" s="44"/>
      <c r="D12" s="44"/>
      <c r="E12" s="44"/>
      <c r="F12" s="44"/>
      <c r="G12" s="44"/>
      <c r="H12" s="45"/>
      <c r="I12" s="29"/>
      <c r="J12" s="28">
        <f>SUM(J11)</f>
        <v>22.79</v>
      </c>
      <c r="L12" s="2">
        <f>J12</f>
        <v>22.79</v>
      </c>
    </row>
    <row r="13" spans="1:12" ht="15" customHeight="1" x14ac:dyDescent="0.2">
      <c r="A13" s="49"/>
      <c r="B13" s="41" t="s">
        <v>46</v>
      </c>
      <c r="C13" s="9" t="s">
        <v>48</v>
      </c>
      <c r="D13" s="9" t="s">
        <v>50</v>
      </c>
      <c r="E13" s="9" t="s">
        <v>49</v>
      </c>
      <c r="F13" s="17" t="s">
        <v>47</v>
      </c>
      <c r="G13" s="9">
        <v>1</v>
      </c>
      <c r="H13" s="9">
        <v>1</v>
      </c>
      <c r="I13" s="35">
        <v>19</v>
      </c>
      <c r="J13" s="27">
        <f t="shared" si="0"/>
        <v>19</v>
      </c>
    </row>
    <row r="14" spans="1:12" x14ac:dyDescent="0.2">
      <c r="A14" s="49"/>
      <c r="B14" s="39"/>
      <c r="C14" s="3" t="s">
        <v>52</v>
      </c>
      <c r="D14" s="3" t="s">
        <v>54</v>
      </c>
      <c r="E14" s="3" t="s">
        <v>53</v>
      </c>
      <c r="F14" s="5" t="s">
        <v>51</v>
      </c>
      <c r="G14" s="3">
        <v>1</v>
      </c>
      <c r="H14" s="3">
        <v>1</v>
      </c>
      <c r="I14" s="20">
        <v>10</v>
      </c>
      <c r="J14" s="24">
        <f t="shared" si="0"/>
        <v>10</v>
      </c>
    </row>
    <row r="15" spans="1:12" x14ac:dyDescent="0.2">
      <c r="A15" s="49"/>
      <c r="B15" s="39"/>
      <c r="C15" s="3" t="s">
        <v>56</v>
      </c>
      <c r="D15" s="3" t="s">
        <v>56</v>
      </c>
      <c r="E15" s="3" t="s">
        <v>61</v>
      </c>
      <c r="F15" s="3" t="s">
        <v>55</v>
      </c>
      <c r="G15" s="3">
        <v>1</v>
      </c>
      <c r="H15" s="3">
        <v>2</v>
      </c>
      <c r="I15" s="20">
        <v>6.5</v>
      </c>
      <c r="J15" s="24">
        <f t="shared" si="0"/>
        <v>13</v>
      </c>
      <c r="L15" s="2">
        <f>J15</f>
        <v>13</v>
      </c>
    </row>
    <row r="16" spans="1:12" x14ac:dyDescent="0.2">
      <c r="A16" s="49"/>
      <c r="B16" s="39"/>
      <c r="C16" s="3" t="s">
        <v>59</v>
      </c>
      <c r="D16" s="3" t="s">
        <v>58</v>
      </c>
      <c r="E16" s="3" t="s">
        <v>60</v>
      </c>
      <c r="F16" s="5" t="s">
        <v>57</v>
      </c>
      <c r="G16" s="3">
        <v>1</v>
      </c>
      <c r="H16" s="3">
        <v>3</v>
      </c>
      <c r="I16" s="20">
        <v>3.15</v>
      </c>
      <c r="J16" s="24">
        <f t="shared" si="0"/>
        <v>9.4499999999999993</v>
      </c>
      <c r="L16" s="2">
        <f>J16</f>
        <v>9.4499999999999993</v>
      </c>
    </row>
    <row r="17" spans="1:13" x14ac:dyDescent="0.2">
      <c r="A17" s="49"/>
      <c r="B17" s="39"/>
      <c r="C17" s="3" t="s">
        <v>64</v>
      </c>
      <c r="D17" s="3" t="s">
        <v>62</v>
      </c>
      <c r="E17" s="3" t="s">
        <v>63</v>
      </c>
      <c r="F17" s="3"/>
      <c r="G17" s="3"/>
      <c r="H17" s="3"/>
      <c r="I17" s="20"/>
      <c r="J17" s="24">
        <v>10</v>
      </c>
    </row>
    <row r="18" spans="1:13" x14ac:dyDescent="0.2">
      <c r="A18" s="49"/>
      <c r="B18" s="39"/>
      <c r="C18" s="3" t="s">
        <v>65</v>
      </c>
      <c r="D18" s="3" t="s">
        <v>66</v>
      </c>
      <c r="E18" s="3" t="s">
        <v>67</v>
      </c>
      <c r="F18" s="5" t="s">
        <v>68</v>
      </c>
      <c r="G18" s="3">
        <v>1</v>
      </c>
      <c r="H18" s="3">
        <v>1</v>
      </c>
      <c r="I18" s="20">
        <v>16.989999999999998</v>
      </c>
      <c r="J18" s="24">
        <f t="shared" si="0"/>
        <v>16.989999999999998</v>
      </c>
      <c r="L18" s="2">
        <f>J18</f>
        <v>16.989999999999998</v>
      </c>
    </row>
    <row r="19" spans="1:13" x14ac:dyDescent="0.2">
      <c r="A19" s="49"/>
      <c r="B19" s="39"/>
      <c r="C19" s="3" t="s">
        <v>69</v>
      </c>
      <c r="D19" s="3" t="s">
        <v>70</v>
      </c>
      <c r="E19" s="3" t="s">
        <v>71</v>
      </c>
      <c r="F19" s="5" t="s">
        <v>72</v>
      </c>
      <c r="G19" s="3">
        <v>1</v>
      </c>
      <c r="H19" s="3">
        <v>1</v>
      </c>
      <c r="I19" s="20">
        <v>20.99</v>
      </c>
      <c r="J19" s="24">
        <f t="shared" si="0"/>
        <v>20.99</v>
      </c>
    </row>
    <row r="20" spans="1:13" ht="16" thickBot="1" x14ac:dyDescent="0.25">
      <c r="A20" s="49"/>
      <c r="B20" s="42"/>
      <c r="C20" s="7" t="s">
        <v>74</v>
      </c>
      <c r="D20" s="7"/>
      <c r="E20" s="7" t="s">
        <v>75</v>
      </c>
      <c r="F20" s="7" t="s">
        <v>73</v>
      </c>
      <c r="G20" s="7">
        <v>1</v>
      </c>
      <c r="H20" s="7">
        <v>1</v>
      </c>
      <c r="I20" s="36">
        <v>9.99</v>
      </c>
      <c r="J20" s="26">
        <f t="shared" si="0"/>
        <v>9.99</v>
      </c>
    </row>
    <row r="21" spans="1:13" ht="16" thickBot="1" x14ac:dyDescent="0.25">
      <c r="A21" s="49"/>
      <c r="B21" s="46" t="s">
        <v>76</v>
      </c>
      <c r="C21" s="47"/>
      <c r="D21" s="47"/>
      <c r="E21" s="47"/>
      <c r="F21" s="47"/>
      <c r="G21" s="47"/>
      <c r="H21" s="47"/>
      <c r="I21" s="37"/>
      <c r="J21" s="38">
        <f>SUM(J13:J20)</f>
        <v>109.41999999999999</v>
      </c>
      <c r="L21" s="2">
        <f>L13+L14+L15+L16+L18</f>
        <v>39.44</v>
      </c>
    </row>
    <row r="22" spans="1:13" ht="16" thickBot="1" x14ac:dyDescent="0.25">
      <c r="A22" s="43" t="s">
        <v>77</v>
      </c>
      <c r="B22" s="44"/>
      <c r="C22" s="44"/>
      <c r="D22" s="44"/>
      <c r="E22" s="44"/>
      <c r="F22" s="44"/>
      <c r="G22" s="44"/>
      <c r="H22" s="44"/>
      <c r="I22" s="29"/>
      <c r="J22" s="28">
        <f>J21+J12+J10+J6</f>
        <v>436.72</v>
      </c>
      <c r="K22" s="2"/>
      <c r="L22" s="2">
        <f>L21+L12+L6</f>
        <v>259.77000000000004</v>
      </c>
      <c r="M22" s="2">
        <f>L22+J10</f>
        <v>366.74</v>
      </c>
    </row>
  </sheetData>
  <mergeCells count="10">
    <mergeCell ref="A22:H22"/>
    <mergeCell ref="A1:J1"/>
    <mergeCell ref="A3:A21"/>
    <mergeCell ref="B3:B5"/>
    <mergeCell ref="B6:H6"/>
    <mergeCell ref="B7:B9"/>
    <mergeCell ref="B10:H10"/>
    <mergeCell ref="B12:H12"/>
    <mergeCell ref="B13:B20"/>
    <mergeCell ref="B21:H21"/>
  </mergeCells>
  <hyperlinks>
    <hyperlink ref="F3" r:id="rId1" display="https://amazon.fr/dp/B0CK2FCG1K/?coliid=I3BJO1ZEMPHWGM&amp;colid=3TPY2TASCROU9&amp;psc=1&amp;ref_=list_c_wl_lv_ov_lig_dp_it" xr:uid="{D1C7B7F4-2089-D840-8753-42512B56F518}"/>
    <hyperlink ref="F4" r:id="rId2" xr:uid="{627BCA5B-B6F4-3348-B0CE-541C447EFBB0}"/>
    <hyperlink ref="F5" r:id="rId3" xr:uid="{113A09A6-5977-D44C-ACBA-C1FFB710A76B}"/>
    <hyperlink ref="F9" r:id="rId4" xr:uid="{E2AF5FDD-6F96-7A45-B4B6-01EBCDEBA31D}"/>
    <hyperlink ref="F8" r:id="rId5" xr:uid="{7F665D09-EDBF-424D-B640-E1A7AB59367F}"/>
    <hyperlink ref="F11" r:id="rId6" xr:uid="{8D3D71D2-84D2-F644-BE4F-43539A5A5F4F}"/>
    <hyperlink ref="F13" r:id="rId7" xr:uid="{B7EA5692-443D-7542-906C-D08172099888}"/>
    <hyperlink ref="F14" r:id="rId8" xr:uid="{EF4D2475-64BB-F64F-A4B3-62EE2AB80AC5}"/>
    <hyperlink ref="F16" r:id="rId9" display="https://www.amazon.fr/Fayrimi-BMP280-capteurs-temp%C3%A9rature-num%C3%A9rique/dp/B0BJF3L9CS/ref=sr_1_25?dib=eyJ2IjoiMSJ9.zbUZyNts_RUi6_Uc4l97OK7RKFQBiF6ZVEooZqaJDx5xjxcNN4KVutfk9vtZFRBP60PRxmXkSqWYHvtqBb4UOvGQOHrBC6LWQNplFCXE8a1dX59wI2j-fj6zuSAWMlykN2QmgaEaM-2Pb7vgsTvfQ_q6BJXmUcSCqpWqFT5AFxXuBJmb1lPBs1PmC3UYVkQcOAoiRCpGIi13t57B61t3eKyzM8gbv5R1jVs0XtlSuBk5jHa7rzp9d2WLA9SPRYgCAoCCxjv1f1abX8_3Su4PnUYUGoo7-kHhjVGCIcixDZg.8jtYXWSWPCbmFI2c84KPMbxg7S7BBtcvzVFL-q90MuM&amp;dib_tag=se&amp;keywords=BMP280&amp;qid=1768404593&amp;sr=8-25" xr:uid="{8406CE80-819C-8E4D-AD12-BE4FDEBDECFB}"/>
    <hyperlink ref="F18" r:id="rId10" xr:uid="{E6AAAC31-714A-E44F-8F52-1B337C2CBCEA}"/>
    <hyperlink ref="F19" r:id="rId11" xr:uid="{1AED7C3A-E03E-5A46-9717-9D598A17672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7697-2131-47B8-BCA7-16408D7C243D}">
  <dimension ref="A1:H53"/>
  <sheetViews>
    <sheetView topLeftCell="A7" workbookViewId="0">
      <selection activeCell="J13" sqref="I13:J13"/>
    </sheetView>
  </sheetViews>
  <sheetFormatPr baseColWidth="10" defaultRowHeight="15" x14ac:dyDescent="0.2"/>
  <cols>
    <col min="1" max="1" width="14" bestFit="1" customWidth="1"/>
    <col min="2" max="2" width="13" bestFit="1" customWidth="1"/>
    <col min="3" max="3" width="6.5" bestFit="1" customWidth="1"/>
    <col min="4" max="4" width="29.1640625" bestFit="1" customWidth="1"/>
    <col min="5" max="5" width="19.6640625" bestFit="1" customWidth="1"/>
    <col min="6" max="6" width="15" bestFit="1" customWidth="1"/>
    <col min="7" max="7" width="21.1640625" bestFit="1" customWidth="1"/>
    <col min="8" max="8" width="52.1640625" bestFit="1" customWidth="1"/>
  </cols>
  <sheetData>
    <row r="1" spans="1:8" x14ac:dyDescent="0.2">
      <c r="A1" t="s">
        <v>78</v>
      </c>
      <c r="B1" t="s">
        <v>79</v>
      </c>
      <c r="C1" t="s">
        <v>35</v>
      </c>
      <c r="D1" t="s">
        <v>34</v>
      </c>
      <c r="E1" t="s">
        <v>290</v>
      </c>
      <c r="F1" t="s">
        <v>291</v>
      </c>
      <c r="G1" t="s">
        <v>83</v>
      </c>
      <c r="H1" t="s">
        <v>292</v>
      </c>
    </row>
    <row r="2" spans="1:8" x14ac:dyDescent="0.2">
      <c r="A2" t="s">
        <v>293</v>
      </c>
      <c r="B2" t="s">
        <v>88</v>
      </c>
      <c r="C2">
        <v>1</v>
      </c>
      <c r="D2" t="s">
        <v>294</v>
      </c>
      <c r="E2" t="s">
        <v>295</v>
      </c>
      <c r="F2" t="s">
        <v>91</v>
      </c>
      <c r="G2" t="s">
        <v>92</v>
      </c>
      <c r="H2" t="s">
        <v>90</v>
      </c>
    </row>
    <row r="3" spans="1:8" x14ac:dyDescent="0.2">
      <c r="A3" t="s">
        <v>293</v>
      </c>
      <c r="B3" t="s">
        <v>95</v>
      </c>
      <c r="C3">
        <v>1</v>
      </c>
      <c r="D3" t="s">
        <v>296</v>
      </c>
      <c r="E3" t="s">
        <v>295</v>
      </c>
      <c r="F3" t="s">
        <v>91</v>
      </c>
      <c r="G3" t="s">
        <v>92</v>
      </c>
      <c r="H3" t="s">
        <v>90</v>
      </c>
    </row>
    <row r="4" spans="1:8" x14ac:dyDescent="0.2">
      <c r="A4" t="s">
        <v>103</v>
      </c>
      <c r="B4" t="s">
        <v>103</v>
      </c>
      <c r="D4" t="s">
        <v>103</v>
      </c>
      <c r="E4" t="s">
        <v>103</v>
      </c>
      <c r="F4" t="s">
        <v>103</v>
      </c>
      <c r="G4" t="s">
        <v>103</v>
      </c>
      <c r="H4" t="s">
        <v>103</v>
      </c>
    </row>
    <row r="5" spans="1:8" x14ac:dyDescent="0.2">
      <c r="A5" t="s">
        <v>297</v>
      </c>
      <c r="B5" t="s">
        <v>105</v>
      </c>
      <c r="C5">
        <v>1</v>
      </c>
      <c r="D5" t="s">
        <v>106</v>
      </c>
      <c r="E5" t="s">
        <v>298</v>
      </c>
      <c r="F5" t="s">
        <v>108</v>
      </c>
      <c r="G5" t="s">
        <v>92</v>
      </c>
      <c r="H5" t="s">
        <v>299</v>
      </c>
    </row>
    <row r="6" spans="1:8" x14ac:dyDescent="0.2">
      <c r="A6" t="s">
        <v>297</v>
      </c>
      <c r="B6" t="s">
        <v>111</v>
      </c>
      <c r="C6">
        <v>1</v>
      </c>
      <c r="D6" t="s">
        <v>300</v>
      </c>
      <c r="E6" t="s">
        <v>301</v>
      </c>
      <c r="F6" t="s">
        <v>114</v>
      </c>
      <c r="G6" t="s">
        <v>92</v>
      </c>
      <c r="H6" t="s">
        <v>103</v>
      </c>
    </row>
    <row r="7" spans="1:8" x14ac:dyDescent="0.2">
      <c r="A7" t="s">
        <v>103</v>
      </c>
      <c r="B7" t="s">
        <v>103</v>
      </c>
      <c r="D7" t="s">
        <v>103</v>
      </c>
      <c r="E7" t="s">
        <v>103</v>
      </c>
      <c r="F7" t="s">
        <v>103</v>
      </c>
      <c r="G7" t="s">
        <v>103</v>
      </c>
      <c r="H7" t="s">
        <v>103</v>
      </c>
    </row>
    <row r="8" spans="1:8" x14ac:dyDescent="0.2">
      <c r="A8" t="s">
        <v>121</v>
      </c>
      <c r="B8" t="s">
        <v>118</v>
      </c>
      <c r="C8">
        <v>1</v>
      </c>
      <c r="D8" t="s">
        <v>302</v>
      </c>
      <c r="E8" t="s">
        <v>120</v>
      </c>
      <c r="F8" t="s">
        <v>121</v>
      </c>
      <c r="G8" t="s">
        <v>122</v>
      </c>
      <c r="H8" t="s">
        <v>303</v>
      </c>
    </row>
    <row r="9" spans="1:8" x14ac:dyDescent="0.2">
      <c r="A9" t="s">
        <v>121</v>
      </c>
      <c r="B9" t="s">
        <v>125</v>
      </c>
      <c r="C9">
        <v>1</v>
      </c>
      <c r="D9" t="s">
        <v>127</v>
      </c>
      <c r="E9" t="s">
        <v>304</v>
      </c>
      <c r="F9" t="s">
        <v>121</v>
      </c>
      <c r="G9" t="s">
        <v>92</v>
      </c>
      <c r="H9" t="s">
        <v>305</v>
      </c>
    </row>
    <row r="10" spans="1:8" x14ac:dyDescent="0.2">
      <c r="A10" t="s">
        <v>121</v>
      </c>
      <c r="B10" t="s">
        <v>130</v>
      </c>
      <c r="C10">
        <v>1</v>
      </c>
      <c r="D10" t="s">
        <v>306</v>
      </c>
      <c r="E10" t="s">
        <v>132</v>
      </c>
      <c r="F10" t="s">
        <v>121</v>
      </c>
      <c r="G10" t="s">
        <v>92</v>
      </c>
      <c r="H10" t="s">
        <v>307</v>
      </c>
    </row>
    <row r="11" spans="1:8" x14ac:dyDescent="0.2">
      <c r="A11" t="s">
        <v>121</v>
      </c>
      <c r="B11" t="s">
        <v>135</v>
      </c>
      <c r="C11">
        <v>1</v>
      </c>
      <c r="D11" t="s">
        <v>308</v>
      </c>
      <c r="E11" t="s">
        <v>309</v>
      </c>
      <c r="F11" t="s">
        <v>121</v>
      </c>
      <c r="G11" t="s">
        <v>92</v>
      </c>
      <c r="H11" t="s">
        <v>310</v>
      </c>
    </row>
    <row r="12" spans="1:8" x14ac:dyDescent="0.2">
      <c r="A12" t="s">
        <v>121</v>
      </c>
      <c r="B12" t="s">
        <v>140</v>
      </c>
      <c r="C12">
        <v>1</v>
      </c>
      <c r="D12" t="s">
        <v>311</v>
      </c>
      <c r="E12" t="s">
        <v>312</v>
      </c>
      <c r="F12" t="s">
        <v>121</v>
      </c>
      <c r="G12" t="s">
        <v>92</v>
      </c>
      <c r="H12" t="s">
        <v>313</v>
      </c>
    </row>
    <row r="13" spans="1:8" x14ac:dyDescent="0.2">
      <c r="A13" t="s">
        <v>121</v>
      </c>
      <c r="B13" t="s">
        <v>145</v>
      </c>
      <c r="C13">
        <v>1</v>
      </c>
      <c r="D13" t="s">
        <v>146</v>
      </c>
      <c r="E13" t="s">
        <v>314</v>
      </c>
      <c r="F13" t="s">
        <v>121</v>
      </c>
      <c r="G13" t="s">
        <v>92</v>
      </c>
      <c r="H13" t="s">
        <v>103</v>
      </c>
    </row>
    <row r="14" spans="1:8" x14ac:dyDescent="0.2">
      <c r="A14" t="s">
        <v>121</v>
      </c>
      <c r="B14" t="s">
        <v>150</v>
      </c>
      <c r="C14">
        <v>2</v>
      </c>
      <c r="D14" t="s">
        <v>315</v>
      </c>
      <c r="E14" t="s">
        <v>316</v>
      </c>
      <c r="F14" t="s">
        <v>121</v>
      </c>
      <c r="G14" t="s">
        <v>92</v>
      </c>
      <c r="H14" t="s">
        <v>103</v>
      </c>
    </row>
    <row r="15" spans="1:8" x14ac:dyDescent="0.2">
      <c r="A15" t="s">
        <v>121</v>
      </c>
      <c r="B15" t="s">
        <v>155</v>
      </c>
      <c r="C15">
        <v>2</v>
      </c>
      <c r="D15" t="s">
        <v>317</v>
      </c>
      <c r="E15" t="s">
        <v>316</v>
      </c>
      <c r="F15" t="s">
        <v>121</v>
      </c>
      <c r="G15" t="s">
        <v>92</v>
      </c>
      <c r="H15" t="s">
        <v>103</v>
      </c>
    </row>
    <row r="16" spans="1:8" x14ac:dyDescent="0.2">
      <c r="A16" t="s">
        <v>103</v>
      </c>
      <c r="B16" t="s">
        <v>103</v>
      </c>
      <c r="D16" t="s">
        <v>103</v>
      </c>
      <c r="E16" t="s">
        <v>103</v>
      </c>
      <c r="F16" t="s">
        <v>103</v>
      </c>
      <c r="G16" t="s">
        <v>103</v>
      </c>
      <c r="H16" t="s">
        <v>103</v>
      </c>
    </row>
    <row r="17" spans="1:8" x14ac:dyDescent="0.2">
      <c r="A17" t="s">
        <v>318</v>
      </c>
      <c r="B17" t="s">
        <v>319</v>
      </c>
      <c r="C17">
        <v>1</v>
      </c>
      <c r="D17" t="s">
        <v>320</v>
      </c>
      <c r="E17" t="s">
        <v>321</v>
      </c>
      <c r="F17" t="s">
        <v>322</v>
      </c>
      <c r="G17" t="s">
        <v>92</v>
      </c>
      <c r="H17" t="s">
        <v>323</v>
      </c>
    </row>
    <row r="18" spans="1:8" x14ac:dyDescent="0.2">
      <c r="A18" t="s">
        <v>318</v>
      </c>
      <c r="B18" t="s">
        <v>324</v>
      </c>
      <c r="C18">
        <v>1</v>
      </c>
      <c r="D18" t="s">
        <v>325</v>
      </c>
      <c r="E18" t="s">
        <v>326</v>
      </c>
      <c r="F18" t="s">
        <v>121</v>
      </c>
      <c r="G18" t="s">
        <v>122</v>
      </c>
      <c r="H18" t="s">
        <v>327</v>
      </c>
    </row>
    <row r="19" spans="1:8" x14ac:dyDescent="0.2">
      <c r="A19" t="s">
        <v>103</v>
      </c>
      <c r="B19" t="s">
        <v>103</v>
      </c>
      <c r="D19" t="s">
        <v>103</v>
      </c>
      <c r="E19" t="s">
        <v>103</v>
      </c>
      <c r="F19" t="s">
        <v>103</v>
      </c>
      <c r="G19" t="s">
        <v>103</v>
      </c>
      <c r="H19" t="s">
        <v>103</v>
      </c>
    </row>
    <row r="20" spans="1:8" x14ac:dyDescent="0.2">
      <c r="A20" t="s">
        <v>328</v>
      </c>
      <c r="B20" t="s">
        <v>158</v>
      </c>
      <c r="C20">
        <v>1</v>
      </c>
      <c r="D20" t="s">
        <v>159</v>
      </c>
      <c r="E20" t="s">
        <v>329</v>
      </c>
      <c r="F20" t="s">
        <v>330</v>
      </c>
      <c r="G20" t="s">
        <v>122</v>
      </c>
      <c r="H20" t="s">
        <v>331</v>
      </c>
    </row>
    <row r="21" spans="1:8" x14ac:dyDescent="0.2">
      <c r="A21" t="s">
        <v>328</v>
      </c>
      <c r="B21" t="s">
        <v>165</v>
      </c>
      <c r="C21">
        <v>1</v>
      </c>
      <c r="D21" t="s">
        <v>166</v>
      </c>
      <c r="E21" t="s">
        <v>332</v>
      </c>
      <c r="F21" t="s">
        <v>207</v>
      </c>
      <c r="G21" t="s">
        <v>92</v>
      </c>
      <c r="H21" t="s">
        <v>333</v>
      </c>
    </row>
    <row r="22" spans="1:8" x14ac:dyDescent="0.2">
      <c r="A22" t="s">
        <v>328</v>
      </c>
      <c r="B22" t="s">
        <v>170</v>
      </c>
      <c r="C22">
        <v>1</v>
      </c>
      <c r="D22" t="s">
        <v>334</v>
      </c>
      <c r="E22" t="s">
        <v>212</v>
      </c>
      <c r="F22" t="s">
        <v>207</v>
      </c>
      <c r="G22" t="s">
        <v>92</v>
      </c>
      <c r="H22" t="s">
        <v>103</v>
      </c>
    </row>
    <row r="23" spans="1:8" x14ac:dyDescent="0.2">
      <c r="A23" t="s">
        <v>103</v>
      </c>
      <c r="B23" t="s">
        <v>103</v>
      </c>
      <c r="D23" t="s">
        <v>103</v>
      </c>
      <c r="E23" t="s">
        <v>103</v>
      </c>
      <c r="F23" t="s">
        <v>103</v>
      </c>
      <c r="G23" t="s">
        <v>103</v>
      </c>
      <c r="H23" t="s">
        <v>103</v>
      </c>
    </row>
    <row r="24" spans="1:8" x14ac:dyDescent="0.2">
      <c r="A24" t="s">
        <v>335</v>
      </c>
      <c r="B24" t="s">
        <v>336</v>
      </c>
      <c r="C24">
        <v>1</v>
      </c>
      <c r="D24" t="s">
        <v>337</v>
      </c>
      <c r="E24" t="s">
        <v>338</v>
      </c>
      <c r="F24" t="s">
        <v>339</v>
      </c>
      <c r="G24" t="s">
        <v>122</v>
      </c>
      <c r="H24" t="s">
        <v>340</v>
      </c>
    </row>
    <row r="25" spans="1:8" x14ac:dyDescent="0.2">
      <c r="A25" t="s">
        <v>103</v>
      </c>
      <c r="B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103</v>
      </c>
    </row>
    <row r="26" spans="1:8" x14ac:dyDescent="0.2">
      <c r="A26" t="s">
        <v>341</v>
      </c>
      <c r="B26" t="s">
        <v>176</v>
      </c>
      <c r="C26">
        <v>1</v>
      </c>
      <c r="D26" t="s">
        <v>342</v>
      </c>
      <c r="E26" t="s">
        <v>58</v>
      </c>
      <c r="F26" t="s">
        <v>100</v>
      </c>
      <c r="G26" t="s">
        <v>92</v>
      </c>
      <c r="H26" t="s">
        <v>343</v>
      </c>
    </row>
    <row r="27" spans="1:8" x14ac:dyDescent="0.2">
      <c r="A27" t="s">
        <v>341</v>
      </c>
      <c r="B27" t="s">
        <v>344</v>
      </c>
      <c r="C27">
        <v>1</v>
      </c>
      <c r="D27" t="s">
        <v>345</v>
      </c>
      <c r="E27" t="s">
        <v>56</v>
      </c>
      <c r="F27" t="s">
        <v>100</v>
      </c>
      <c r="G27" t="s">
        <v>92</v>
      </c>
      <c r="H27" t="s">
        <v>346</v>
      </c>
    </row>
    <row r="28" spans="1:8" x14ac:dyDescent="0.2">
      <c r="A28" t="s">
        <v>341</v>
      </c>
      <c r="B28" t="s">
        <v>180</v>
      </c>
      <c r="C28">
        <v>1</v>
      </c>
      <c r="D28" t="s">
        <v>347</v>
      </c>
      <c r="E28" t="s">
        <v>348</v>
      </c>
      <c r="F28" t="s">
        <v>100</v>
      </c>
      <c r="G28" t="s">
        <v>92</v>
      </c>
      <c r="H28" t="s">
        <v>103</v>
      </c>
    </row>
    <row r="29" spans="1:8" x14ac:dyDescent="0.2">
      <c r="A29" t="s">
        <v>341</v>
      </c>
      <c r="B29" t="s">
        <v>183</v>
      </c>
      <c r="C29">
        <v>1</v>
      </c>
      <c r="D29" t="s">
        <v>349</v>
      </c>
      <c r="E29" t="s">
        <v>348</v>
      </c>
      <c r="F29" t="s">
        <v>100</v>
      </c>
      <c r="G29" t="s">
        <v>92</v>
      </c>
      <c r="H29" t="s">
        <v>103</v>
      </c>
    </row>
    <row r="30" spans="1:8" x14ac:dyDescent="0.2">
      <c r="A30" t="s">
        <v>103</v>
      </c>
      <c r="B30" t="s">
        <v>103</v>
      </c>
      <c r="D30" t="s">
        <v>103</v>
      </c>
      <c r="E30" t="s">
        <v>103</v>
      </c>
      <c r="F30" t="s">
        <v>103</v>
      </c>
      <c r="G30" t="s">
        <v>103</v>
      </c>
      <c r="H30" t="s">
        <v>103</v>
      </c>
    </row>
    <row r="31" spans="1:8" x14ac:dyDescent="0.2">
      <c r="A31" t="s">
        <v>350</v>
      </c>
      <c r="B31" t="s">
        <v>272</v>
      </c>
      <c r="C31">
        <v>1</v>
      </c>
      <c r="D31" t="s">
        <v>351</v>
      </c>
      <c r="E31" t="s">
        <v>352</v>
      </c>
      <c r="F31" t="s">
        <v>207</v>
      </c>
      <c r="G31" t="s">
        <v>122</v>
      </c>
      <c r="H31" t="s">
        <v>353</v>
      </c>
    </row>
    <row r="32" spans="1:8" x14ac:dyDescent="0.2">
      <c r="A32" t="s">
        <v>350</v>
      </c>
      <c r="B32" t="s">
        <v>277</v>
      </c>
      <c r="C32">
        <v>1</v>
      </c>
      <c r="D32" t="s">
        <v>351</v>
      </c>
      <c r="E32" t="s">
        <v>352</v>
      </c>
      <c r="F32" t="s">
        <v>207</v>
      </c>
      <c r="G32" t="s">
        <v>122</v>
      </c>
      <c r="H32" t="s">
        <v>103</v>
      </c>
    </row>
    <row r="33" spans="1:8" x14ac:dyDescent="0.2">
      <c r="A33" t="s">
        <v>103</v>
      </c>
      <c r="B33" t="s">
        <v>103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</row>
    <row r="34" spans="1:8" x14ac:dyDescent="0.2">
      <c r="A34" t="s">
        <v>354</v>
      </c>
      <c r="B34" t="s">
        <v>355</v>
      </c>
      <c r="C34">
        <v>1</v>
      </c>
      <c r="D34" t="s">
        <v>356</v>
      </c>
      <c r="E34" t="s">
        <v>357</v>
      </c>
      <c r="F34" t="s">
        <v>358</v>
      </c>
      <c r="G34" t="s">
        <v>122</v>
      </c>
      <c r="H34" t="s">
        <v>359</v>
      </c>
    </row>
    <row r="35" spans="1:8" x14ac:dyDescent="0.2">
      <c r="A35" t="s">
        <v>354</v>
      </c>
      <c r="B35" t="s">
        <v>204</v>
      </c>
      <c r="C35">
        <v>1</v>
      </c>
      <c r="D35" t="s">
        <v>360</v>
      </c>
      <c r="E35" t="s">
        <v>206</v>
      </c>
      <c r="F35" t="s">
        <v>207</v>
      </c>
      <c r="G35" t="s">
        <v>92</v>
      </c>
      <c r="H35" t="s">
        <v>103</v>
      </c>
    </row>
    <row r="36" spans="1:8" x14ac:dyDescent="0.2">
      <c r="A36" t="s">
        <v>354</v>
      </c>
      <c r="B36" t="s">
        <v>210</v>
      </c>
      <c r="C36">
        <v>1</v>
      </c>
      <c r="D36" t="s">
        <v>361</v>
      </c>
      <c r="E36" t="s">
        <v>212</v>
      </c>
      <c r="F36" t="s">
        <v>207</v>
      </c>
      <c r="G36" t="s">
        <v>92</v>
      </c>
      <c r="H36" t="s">
        <v>103</v>
      </c>
    </row>
    <row r="37" spans="1:8" x14ac:dyDescent="0.2">
      <c r="A37" t="s">
        <v>354</v>
      </c>
      <c r="B37" t="s">
        <v>213</v>
      </c>
      <c r="C37">
        <v>1</v>
      </c>
      <c r="D37" t="s">
        <v>362</v>
      </c>
      <c r="E37" t="s">
        <v>363</v>
      </c>
      <c r="F37" t="s">
        <v>121</v>
      </c>
      <c r="G37" t="s">
        <v>92</v>
      </c>
      <c r="H37" t="s">
        <v>103</v>
      </c>
    </row>
    <row r="38" spans="1:8" x14ac:dyDescent="0.2">
      <c r="A38" t="s">
        <v>103</v>
      </c>
      <c r="B38" t="s">
        <v>103</v>
      </c>
      <c r="D38" t="s">
        <v>103</v>
      </c>
      <c r="E38" t="s">
        <v>103</v>
      </c>
      <c r="F38" t="s">
        <v>103</v>
      </c>
      <c r="G38" t="s">
        <v>103</v>
      </c>
      <c r="H38" t="s">
        <v>103</v>
      </c>
    </row>
    <row r="39" spans="1:8" x14ac:dyDescent="0.2">
      <c r="A39" t="s">
        <v>364</v>
      </c>
      <c r="B39" t="s">
        <v>219</v>
      </c>
      <c r="C39">
        <v>1</v>
      </c>
      <c r="D39" t="s">
        <v>365</v>
      </c>
      <c r="E39" t="s">
        <v>221</v>
      </c>
      <c r="F39" t="s">
        <v>366</v>
      </c>
      <c r="G39" t="s">
        <v>122</v>
      </c>
      <c r="H39" t="s">
        <v>103</v>
      </c>
    </row>
    <row r="40" spans="1:8" x14ac:dyDescent="0.2">
      <c r="A40" t="s">
        <v>364</v>
      </c>
      <c r="B40" t="s">
        <v>224</v>
      </c>
      <c r="C40">
        <v>1</v>
      </c>
      <c r="D40" t="s">
        <v>367</v>
      </c>
      <c r="E40" t="s">
        <v>226</v>
      </c>
      <c r="F40" t="s">
        <v>207</v>
      </c>
      <c r="G40" t="s">
        <v>92</v>
      </c>
      <c r="H40" t="s">
        <v>103</v>
      </c>
    </row>
    <row r="41" spans="1:8" x14ac:dyDescent="0.2">
      <c r="A41" t="s">
        <v>103</v>
      </c>
      <c r="B41" t="s">
        <v>103</v>
      </c>
      <c r="D41" t="s">
        <v>103</v>
      </c>
      <c r="E41" t="s">
        <v>103</v>
      </c>
      <c r="F41" t="s">
        <v>103</v>
      </c>
      <c r="G41" t="s">
        <v>103</v>
      </c>
      <c r="H41" t="s">
        <v>103</v>
      </c>
    </row>
    <row r="42" spans="1:8" x14ac:dyDescent="0.2">
      <c r="A42" t="s">
        <v>368</v>
      </c>
      <c r="B42" t="s">
        <v>369</v>
      </c>
      <c r="C42">
        <v>1</v>
      </c>
      <c r="D42" t="s">
        <v>370</v>
      </c>
      <c r="E42" t="s">
        <v>371</v>
      </c>
      <c r="F42" t="s">
        <v>246</v>
      </c>
      <c r="G42" t="s">
        <v>92</v>
      </c>
      <c r="H42" t="s">
        <v>372</v>
      </c>
    </row>
    <row r="43" spans="1:8" x14ac:dyDescent="0.2">
      <c r="A43" t="s">
        <v>368</v>
      </c>
      <c r="B43" t="s">
        <v>249</v>
      </c>
      <c r="C43">
        <v>1</v>
      </c>
      <c r="D43" t="s">
        <v>373</v>
      </c>
      <c r="E43" t="s">
        <v>374</v>
      </c>
      <c r="F43" t="s">
        <v>252</v>
      </c>
      <c r="G43" t="s">
        <v>122</v>
      </c>
      <c r="H43" t="s">
        <v>375</v>
      </c>
    </row>
    <row r="44" spans="1:8" x14ac:dyDescent="0.2">
      <c r="A44" t="s">
        <v>103</v>
      </c>
      <c r="B44" t="s">
        <v>103</v>
      </c>
      <c r="D44" t="s">
        <v>103</v>
      </c>
      <c r="E44" t="s">
        <v>103</v>
      </c>
      <c r="F44" t="s">
        <v>103</v>
      </c>
      <c r="G44" t="s">
        <v>103</v>
      </c>
      <c r="H44" t="s">
        <v>103</v>
      </c>
    </row>
    <row r="45" spans="1:8" x14ac:dyDescent="0.2">
      <c r="A45" t="s">
        <v>376</v>
      </c>
      <c r="B45" t="s">
        <v>256</v>
      </c>
      <c r="C45">
        <v>1</v>
      </c>
      <c r="D45" t="s">
        <v>377</v>
      </c>
      <c r="E45" t="s">
        <v>378</v>
      </c>
      <c r="F45" t="s">
        <v>246</v>
      </c>
      <c r="G45" t="s">
        <v>92</v>
      </c>
      <c r="H45" t="s">
        <v>103</v>
      </c>
    </row>
    <row r="46" spans="1:8" x14ac:dyDescent="0.2">
      <c r="A46" t="s">
        <v>376</v>
      </c>
      <c r="B46" t="s">
        <v>259</v>
      </c>
      <c r="C46">
        <v>1</v>
      </c>
      <c r="D46" t="s">
        <v>379</v>
      </c>
      <c r="E46" t="s">
        <v>374</v>
      </c>
      <c r="F46" t="s">
        <v>252</v>
      </c>
      <c r="G46" t="s">
        <v>122</v>
      </c>
      <c r="H46" t="s">
        <v>380</v>
      </c>
    </row>
    <row r="47" spans="1:8" x14ac:dyDescent="0.2">
      <c r="A47" t="s">
        <v>103</v>
      </c>
      <c r="B47" t="s">
        <v>103</v>
      </c>
      <c r="D47" t="s">
        <v>103</v>
      </c>
      <c r="E47" t="s">
        <v>103</v>
      </c>
      <c r="F47" t="s">
        <v>103</v>
      </c>
      <c r="G47" t="s">
        <v>103</v>
      </c>
      <c r="H47" t="s">
        <v>103</v>
      </c>
    </row>
    <row r="48" spans="1:8" x14ac:dyDescent="0.2">
      <c r="A48" t="s">
        <v>381</v>
      </c>
      <c r="B48" t="s">
        <v>262</v>
      </c>
      <c r="C48">
        <v>1</v>
      </c>
      <c r="D48" t="s">
        <v>382</v>
      </c>
      <c r="E48" t="s">
        <v>383</v>
      </c>
      <c r="F48" t="s">
        <v>265</v>
      </c>
      <c r="G48" t="s">
        <v>92</v>
      </c>
      <c r="H48" t="s">
        <v>103</v>
      </c>
    </row>
    <row r="49" spans="1:8" x14ac:dyDescent="0.2">
      <c r="A49" t="s">
        <v>381</v>
      </c>
      <c r="B49" t="s">
        <v>269</v>
      </c>
      <c r="C49">
        <v>1</v>
      </c>
      <c r="D49" t="s">
        <v>384</v>
      </c>
      <c r="E49" t="s">
        <v>374</v>
      </c>
      <c r="F49" t="s">
        <v>252</v>
      </c>
      <c r="G49" t="s">
        <v>122</v>
      </c>
      <c r="H49" t="s">
        <v>385</v>
      </c>
    </row>
    <row r="50" spans="1:8" x14ac:dyDescent="0.2">
      <c r="A50" t="s">
        <v>103</v>
      </c>
      <c r="B50" t="s">
        <v>103</v>
      </c>
      <c r="D50" t="s">
        <v>103</v>
      </c>
      <c r="E50" t="s">
        <v>103</v>
      </c>
      <c r="F50" t="s">
        <v>103</v>
      </c>
      <c r="G50" t="s">
        <v>103</v>
      </c>
      <c r="H50" t="s">
        <v>103</v>
      </c>
    </row>
    <row r="51" spans="1:8" x14ac:dyDescent="0.2">
      <c r="A51" t="s">
        <v>386</v>
      </c>
      <c r="B51" t="s">
        <v>279</v>
      </c>
      <c r="C51">
        <v>1</v>
      </c>
      <c r="D51" t="s">
        <v>387</v>
      </c>
      <c r="E51" t="s">
        <v>388</v>
      </c>
      <c r="F51" t="s">
        <v>282</v>
      </c>
      <c r="G51" t="s">
        <v>92</v>
      </c>
      <c r="H51" t="s">
        <v>103</v>
      </c>
    </row>
    <row r="52" spans="1:8" x14ac:dyDescent="0.2">
      <c r="A52" t="s">
        <v>386</v>
      </c>
      <c r="B52" t="s">
        <v>285</v>
      </c>
      <c r="C52">
        <v>1</v>
      </c>
      <c r="D52" t="s">
        <v>389</v>
      </c>
      <c r="E52" t="s">
        <v>388</v>
      </c>
      <c r="F52" t="s">
        <v>282</v>
      </c>
      <c r="G52" t="s">
        <v>92</v>
      </c>
      <c r="H52" t="s">
        <v>103</v>
      </c>
    </row>
    <row r="53" spans="1:8" x14ac:dyDescent="0.2">
      <c r="A53" t="s">
        <v>386</v>
      </c>
      <c r="B53" t="s">
        <v>287</v>
      </c>
      <c r="C53">
        <v>1</v>
      </c>
      <c r="D53" t="s">
        <v>390</v>
      </c>
      <c r="E53" t="s">
        <v>388</v>
      </c>
      <c r="F53" t="s">
        <v>282</v>
      </c>
      <c r="G53" t="s">
        <v>92</v>
      </c>
      <c r="H53" t="s">
        <v>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6974-E770-46F7-BACC-F6DE1615C4A6}">
  <dimension ref="A1:J55"/>
  <sheetViews>
    <sheetView workbookViewId="0">
      <selection activeCell="E10" sqref="E10"/>
    </sheetView>
  </sheetViews>
  <sheetFormatPr baseColWidth="10" defaultRowHeight="15" x14ac:dyDescent="0.2"/>
  <cols>
    <col min="1" max="1" width="15.6640625" bestFit="1" customWidth="1"/>
    <col min="2" max="2" width="11.83203125" bestFit="1" customWidth="1"/>
    <col min="3" max="3" width="6.5" bestFit="1" customWidth="1"/>
    <col min="4" max="4" width="29.83203125" bestFit="1" customWidth="1"/>
    <col min="5" max="5" width="31.1640625" bestFit="1" customWidth="1"/>
    <col min="6" max="6" width="18" bestFit="1" customWidth="1"/>
    <col min="7" max="7" width="21.1640625" bestFit="1" customWidth="1"/>
    <col min="8" max="8" width="40.1640625" bestFit="1" customWidth="1"/>
    <col min="9" max="9" width="38.5" bestFit="1" customWidth="1"/>
    <col min="10" max="10" width="15.6640625" bestFit="1" customWidth="1"/>
  </cols>
  <sheetData>
    <row r="1" spans="1:10" x14ac:dyDescent="0.2">
      <c r="A1" t="s">
        <v>78</v>
      </c>
      <c r="B1" t="s">
        <v>79</v>
      </c>
      <c r="C1" t="s">
        <v>80</v>
      </c>
      <c r="D1" t="s">
        <v>34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</row>
    <row r="2" spans="1:10" x14ac:dyDescent="0.2">
      <c r="A2" t="s">
        <v>87</v>
      </c>
      <c r="B2" t="s">
        <v>88</v>
      </c>
      <c r="C2">
        <v>1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92</v>
      </c>
    </row>
    <row r="3" spans="1:10" x14ac:dyDescent="0.2">
      <c r="A3" t="s">
        <v>87</v>
      </c>
      <c r="B3" t="s">
        <v>95</v>
      </c>
      <c r="C3">
        <v>1</v>
      </c>
      <c r="D3" t="s">
        <v>96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92</v>
      </c>
    </row>
    <row r="4" spans="1:10" x14ac:dyDescent="0.2">
      <c r="A4" t="s">
        <v>87</v>
      </c>
      <c r="B4" t="s">
        <v>97</v>
      </c>
      <c r="C4">
        <v>1</v>
      </c>
      <c r="D4" t="s">
        <v>98</v>
      </c>
      <c r="E4" t="s">
        <v>99</v>
      </c>
      <c r="F4" t="s">
        <v>100</v>
      </c>
      <c r="G4" t="s">
        <v>92</v>
      </c>
      <c r="H4" t="s">
        <v>101</v>
      </c>
      <c r="I4" t="s">
        <v>102</v>
      </c>
      <c r="J4" t="s">
        <v>92</v>
      </c>
    </row>
    <row r="5" spans="1:10" x14ac:dyDescent="0.2">
      <c r="A5" t="s">
        <v>103</v>
      </c>
      <c r="B5" t="s">
        <v>103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I5" t="s">
        <v>103</v>
      </c>
      <c r="J5" t="s">
        <v>103</v>
      </c>
    </row>
    <row r="6" spans="1:10" x14ac:dyDescent="0.2">
      <c r="A6" t="s">
        <v>104</v>
      </c>
      <c r="B6" t="s">
        <v>105</v>
      </c>
      <c r="C6">
        <v>1</v>
      </c>
      <c r="D6" t="s">
        <v>106</v>
      </c>
      <c r="E6" t="s">
        <v>107</v>
      </c>
      <c r="F6" t="s">
        <v>108</v>
      </c>
      <c r="G6" t="s">
        <v>92</v>
      </c>
      <c r="H6" t="s">
        <v>109</v>
      </c>
      <c r="I6" t="s">
        <v>110</v>
      </c>
      <c r="J6" t="s">
        <v>92</v>
      </c>
    </row>
    <row r="7" spans="1:10" x14ac:dyDescent="0.2">
      <c r="A7" t="s">
        <v>104</v>
      </c>
      <c r="B7" t="s">
        <v>111</v>
      </c>
      <c r="C7">
        <v>1</v>
      </c>
      <c r="D7" t="s">
        <v>112</v>
      </c>
      <c r="E7" t="s">
        <v>113</v>
      </c>
      <c r="F7" t="s">
        <v>114</v>
      </c>
      <c r="G7" t="s">
        <v>92</v>
      </c>
      <c r="H7" t="s">
        <v>115</v>
      </c>
      <c r="I7" t="s">
        <v>116</v>
      </c>
      <c r="J7" t="s">
        <v>92</v>
      </c>
    </row>
    <row r="8" spans="1:10" x14ac:dyDescent="0.2">
      <c r="A8" t="s">
        <v>103</v>
      </c>
      <c r="B8" t="s">
        <v>103</v>
      </c>
      <c r="D8" t="s">
        <v>103</v>
      </c>
      <c r="E8" t="s">
        <v>103</v>
      </c>
      <c r="F8" t="s">
        <v>103</v>
      </c>
      <c r="G8" t="s">
        <v>103</v>
      </c>
      <c r="H8" t="s">
        <v>103</v>
      </c>
      <c r="I8" t="s">
        <v>103</v>
      </c>
      <c r="J8" t="s">
        <v>103</v>
      </c>
    </row>
    <row r="9" spans="1:10" x14ac:dyDescent="0.2">
      <c r="A9" t="s">
        <v>117</v>
      </c>
      <c r="B9" t="s">
        <v>118</v>
      </c>
      <c r="C9">
        <v>1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92</v>
      </c>
    </row>
    <row r="10" spans="1:10" x14ac:dyDescent="0.2">
      <c r="A10" t="s">
        <v>117</v>
      </c>
      <c r="B10" t="s">
        <v>125</v>
      </c>
      <c r="C10">
        <v>1</v>
      </c>
      <c r="D10" t="s">
        <v>126</v>
      </c>
      <c r="E10" t="s">
        <v>127</v>
      </c>
      <c r="F10" t="s">
        <v>121</v>
      </c>
      <c r="G10" t="s">
        <v>92</v>
      </c>
      <c r="H10" t="s">
        <v>128</v>
      </c>
      <c r="I10" t="s">
        <v>129</v>
      </c>
      <c r="J10" t="s">
        <v>92</v>
      </c>
    </row>
    <row r="11" spans="1:10" x14ac:dyDescent="0.2">
      <c r="A11" t="s">
        <v>117</v>
      </c>
      <c r="B11" t="s">
        <v>130</v>
      </c>
      <c r="C11">
        <v>1</v>
      </c>
      <c r="D11" t="s">
        <v>131</v>
      </c>
      <c r="E11" t="s">
        <v>132</v>
      </c>
      <c r="F11" t="s">
        <v>121</v>
      </c>
      <c r="G11" t="s">
        <v>92</v>
      </c>
      <c r="H11" t="s">
        <v>133</v>
      </c>
      <c r="I11" t="s">
        <v>134</v>
      </c>
      <c r="J11" t="s">
        <v>92</v>
      </c>
    </row>
    <row r="12" spans="1:10" x14ac:dyDescent="0.2">
      <c r="A12" t="s">
        <v>117</v>
      </c>
      <c r="B12" t="s">
        <v>135</v>
      </c>
      <c r="C12">
        <v>1</v>
      </c>
      <c r="D12" t="s">
        <v>136</v>
      </c>
      <c r="E12" t="s">
        <v>137</v>
      </c>
      <c r="F12" t="s">
        <v>121</v>
      </c>
      <c r="G12" t="s">
        <v>92</v>
      </c>
      <c r="H12" t="s">
        <v>138</v>
      </c>
      <c r="I12" t="s">
        <v>139</v>
      </c>
      <c r="J12" t="s">
        <v>92</v>
      </c>
    </row>
    <row r="13" spans="1:10" x14ac:dyDescent="0.2">
      <c r="A13" t="s">
        <v>117</v>
      </c>
      <c r="B13" t="s">
        <v>140</v>
      </c>
      <c r="C13">
        <v>1</v>
      </c>
      <c r="D13" t="s">
        <v>141</v>
      </c>
      <c r="E13" t="s">
        <v>142</v>
      </c>
      <c r="F13" t="s">
        <v>121</v>
      </c>
      <c r="G13" t="s">
        <v>92</v>
      </c>
      <c r="H13" t="s">
        <v>143</v>
      </c>
      <c r="I13" t="s">
        <v>144</v>
      </c>
      <c r="J13" t="s">
        <v>92</v>
      </c>
    </row>
    <row r="14" spans="1:10" x14ac:dyDescent="0.2">
      <c r="A14" t="s">
        <v>117</v>
      </c>
      <c r="B14" t="s">
        <v>145</v>
      </c>
      <c r="C14">
        <v>1</v>
      </c>
      <c r="D14" t="s">
        <v>146</v>
      </c>
      <c r="E14" t="s">
        <v>147</v>
      </c>
      <c r="F14" t="s">
        <v>121</v>
      </c>
      <c r="G14" t="s">
        <v>92</v>
      </c>
      <c r="H14" t="s">
        <v>148</v>
      </c>
      <c r="I14" t="s">
        <v>149</v>
      </c>
      <c r="J14" t="s">
        <v>92</v>
      </c>
    </row>
    <row r="15" spans="1:10" x14ac:dyDescent="0.2">
      <c r="A15" t="s">
        <v>117</v>
      </c>
      <c r="B15" t="s">
        <v>150</v>
      </c>
      <c r="C15">
        <v>2</v>
      </c>
      <c r="D15" t="s">
        <v>151</v>
      </c>
      <c r="E15" t="s">
        <v>152</v>
      </c>
      <c r="F15" t="s">
        <v>121</v>
      </c>
      <c r="G15" t="s">
        <v>92</v>
      </c>
      <c r="H15" t="s">
        <v>153</v>
      </c>
      <c r="I15" t="s">
        <v>154</v>
      </c>
      <c r="J15" t="s">
        <v>92</v>
      </c>
    </row>
    <row r="16" spans="1:10" x14ac:dyDescent="0.2">
      <c r="A16" t="s">
        <v>117</v>
      </c>
      <c r="B16" t="s">
        <v>155</v>
      </c>
      <c r="C16">
        <v>2</v>
      </c>
      <c r="D16" t="s">
        <v>156</v>
      </c>
      <c r="E16" t="s">
        <v>152</v>
      </c>
      <c r="F16" t="s">
        <v>121</v>
      </c>
      <c r="G16" t="s">
        <v>92</v>
      </c>
      <c r="H16" t="s">
        <v>153</v>
      </c>
      <c r="I16" t="s">
        <v>154</v>
      </c>
      <c r="J16" t="s">
        <v>92</v>
      </c>
    </row>
    <row r="17" spans="1:10" x14ac:dyDescent="0.2">
      <c r="A17" t="s">
        <v>103</v>
      </c>
      <c r="B17" t="s">
        <v>103</v>
      </c>
      <c r="D17" t="s">
        <v>103</v>
      </c>
      <c r="E17" t="s">
        <v>103</v>
      </c>
      <c r="F17" t="s">
        <v>103</v>
      </c>
      <c r="G17" t="s">
        <v>103</v>
      </c>
      <c r="H17" t="s">
        <v>103</v>
      </c>
      <c r="I17" t="s">
        <v>103</v>
      </c>
      <c r="J17" t="s">
        <v>103</v>
      </c>
    </row>
    <row r="18" spans="1:10" x14ac:dyDescent="0.2">
      <c r="A18" t="s">
        <v>157</v>
      </c>
      <c r="B18" t="s">
        <v>158</v>
      </c>
      <c r="C18">
        <v>1</v>
      </c>
      <c r="D18" t="s">
        <v>159</v>
      </c>
      <c r="E18" t="s">
        <v>160</v>
      </c>
      <c r="F18" t="s">
        <v>161</v>
      </c>
      <c r="G18" t="s">
        <v>122</v>
      </c>
      <c r="H18" t="s">
        <v>162</v>
      </c>
      <c r="I18" t="s">
        <v>163</v>
      </c>
      <c r="J18" t="s">
        <v>164</v>
      </c>
    </row>
    <row r="19" spans="1:10" x14ac:dyDescent="0.2">
      <c r="A19" t="s">
        <v>157</v>
      </c>
      <c r="B19" t="s">
        <v>165</v>
      </c>
      <c r="C19">
        <v>1</v>
      </c>
      <c r="D19" t="s">
        <v>166</v>
      </c>
      <c r="E19" t="s">
        <v>167</v>
      </c>
      <c r="F19" t="s">
        <v>168</v>
      </c>
      <c r="G19" t="s">
        <v>92</v>
      </c>
      <c r="H19" t="s">
        <v>169</v>
      </c>
      <c r="I19" t="s">
        <v>139</v>
      </c>
      <c r="J19" t="s">
        <v>92</v>
      </c>
    </row>
    <row r="20" spans="1:10" x14ac:dyDescent="0.2">
      <c r="A20" t="s">
        <v>157</v>
      </c>
      <c r="B20" t="s">
        <v>170</v>
      </c>
      <c r="C20">
        <v>1</v>
      </c>
      <c r="D20" t="s">
        <v>171</v>
      </c>
      <c r="E20" t="s">
        <v>172</v>
      </c>
      <c r="F20" t="s">
        <v>168</v>
      </c>
      <c r="G20" t="s">
        <v>92</v>
      </c>
      <c r="H20" t="s">
        <v>173</v>
      </c>
      <c r="I20" t="s">
        <v>174</v>
      </c>
      <c r="J20" t="s">
        <v>92</v>
      </c>
    </row>
    <row r="21" spans="1:10" x14ac:dyDescent="0.2">
      <c r="A21" t="s">
        <v>103</v>
      </c>
      <c r="B21" t="s">
        <v>103</v>
      </c>
      <c r="D21" t="s">
        <v>103</v>
      </c>
      <c r="E21" t="s">
        <v>103</v>
      </c>
      <c r="F21" t="s">
        <v>103</v>
      </c>
      <c r="G21" t="s">
        <v>103</v>
      </c>
      <c r="H21" t="s">
        <v>103</v>
      </c>
      <c r="I21" t="s">
        <v>103</v>
      </c>
      <c r="J21" t="s">
        <v>103</v>
      </c>
    </row>
    <row r="22" spans="1:10" x14ac:dyDescent="0.2">
      <c r="A22" t="s">
        <v>175</v>
      </c>
      <c r="B22" t="s">
        <v>176</v>
      </c>
      <c r="C22">
        <v>1</v>
      </c>
      <c r="D22" t="s">
        <v>177</v>
      </c>
      <c r="E22" t="s">
        <v>58</v>
      </c>
      <c r="F22" t="s">
        <v>100</v>
      </c>
      <c r="G22" t="s">
        <v>92</v>
      </c>
      <c r="H22" t="s">
        <v>178</v>
      </c>
      <c r="I22" t="s">
        <v>179</v>
      </c>
      <c r="J22" t="s">
        <v>92</v>
      </c>
    </row>
    <row r="23" spans="1:10" x14ac:dyDescent="0.2">
      <c r="A23" t="s">
        <v>175</v>
      </c>
      <c r="B23" t="s">
        <v>180</v>
      </c>
      <c r="C23">
        <v>1</v>
      </c>
      <c r="D23" t="s">
        <v>181</v>
      </c>
      <c r="E23" t="s">
        <v>182</v>
      </c>
      <c r="F23" t="s">
        <v>100</v>
      </c>
      <c r="G23" t="s">
        <v>92</v>
      </c>
      <c r="H23" t="s">
        <v>173</v>
      </c>
      <c r="I23" t="s">
        <v>174</v>
      </c>
      <c r="J23" t="s">
        <v>92</v>
      </c>
    </row>
    <row r="24" spans="1:10" x14ac:dyDescent="0.2">
      <c r="A24" t="s">
        <v>175</v>
      </c>
      <c r="B24" t="s">
        <v>183</v>
      </c>
      <c r="C24">
        <v>1</v>
      </c>
      <c r="D24" t="s">
        <v>184</v>
      </c>
      <c r="E24" t="s">
        <v>182</v>
      </c>
      <c r="F24" t="s">
        <v>100</v>
      </c>
      <c r="G24" t="s">
        <v>92</v>
      </c>
      <c r="H24" t="s">
        <v>173</v>
      </c>
      <c r="I24" t="s">
        <v>174</v>
      </c>
      <c r="J24" t="s">
        <v>92</v>
      </c>
    </row>
    <row r="25" spans="1:10" x14ac:dyDescent="0.2">
      <c r="A25" t="s">
        <v>103</v>
      </c>
      <c r="B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103</v>
      </c>
      <c r="I25" t="s">
        <v>103</v>
      </c>
      <c r="J25" t="s">
        <v>103</v>
      </c>
    </row>
    <row r="26" spans="1:10" x14ac:dyDescent="0.2">
      <c r="A26" t="s">
        <v>185</v>
      </c>
      <c r="B26" t="s">
        <v>186</v>
      </c>
      <c r="C26">
        <v>1</v>
      </c>
      <c r="D26" t="s">
        <v>187</v>
      </c>
      <c r="E26" t="s">
        <v>56</v>
      </c>
      <c r="F26" t="s">
        <v>188</v>
      </c>
      <c r="G26" t="s">
        <v>189</v>
      </c>
      <c r="H26" t="s">
        <v>190</v>
      </c>
      <c r="I26" t="s">
        <v>191</v>
      </c>
      <c r="J26" t="s">
        <v>92</v>
      </c>
    </row>
    <row r="27" spans="1:10" x14ac:dyDescent="0.2">
      <c r="A27" t="s">
        <v>185</v>
      </c>
      <c r="B27" t="s">
        <v>192</v>
      </c>
      <c r="C27">
        <v>1</v>
      </c>
      <c r="D27" t="s">
        <v>193</v>
      </c>
      <c r="E27" t="s">
        <v>194</v>
      </c>
      <c r="F27" t="s">
        <v>185</v>
      </c>
      <c r="G27" t="s">
        <v>122</v>
      </c>
      <c r="H27" t="s">
        <v>195</v>
      </c>
      <c r="I27" t="s">
        <v>196</v>
      </c>
      <c r="J27" t="s">
        <v>92</v>
      </c>
    </row>
    <row r="28" spans="1:10" x14ac:dyDescent="0.2">
      <c r="A28" t="s">
        <v>103</v>
      </c>
      <c r="B28" t="s">
        <v>103</v>
      </c>
      <c r="D28" t="s">
        <v>103</v>
      </c>
      <c r="E28" t="s">
        <v>103</v>
      </c>
      <c r="F28" t="s">
        <v>103</v>
      </c>
      <c r="G28" t="s">
        <v>103</v>
      </c>
      <c r="H28" t="s">
        <v>103</v>
      </c>
      <c r="I28" t="s">
        <v>103</v>
      </c>
      <c r="J28" t="s">
        <v>103</v>
      </c>
    </row>
    <row r="29" spans="1:10" x14ac:dyDescent="0.2">
      <c r="A29" t="s">
        <v>197</v>
      </c>
      <c r="B29" t="s">
        <v>198</v>
      </c>
      <c r="C29">
        <v>1</v>
      </c>
      <c r="D29" t="s">
        <v>199</v>
      </c>
      <c r="E29" t="s">
        <v>200</v>
      </c>
      <c r="F29" t="s">
        <v>201</v>
      </c>
      <c r="G29" t="s">
        <v>122</v>
      </c>
      <c r="H29" t="s">
        <v>202</v>
      </c>
      <c r="I29" t="s">
        <v>203</v>
      </c>
      <c r="J29" t="s">
        <v>122</v>
      </c>
    </row>
    <row r="30" spans="1:10" x14ac:dyDescent="0.2">
      <c r="A30" t="s">
        <v>197</v>
      </c>
      <c r="B30" t="s">
        <v>204</v>
      </c>
      <c r="C30">
        <v>1</v>
      </c>
      <c r="D30" t="s">
        <v>205</v>
      </c>
      <c r="E30" t="s">
        <v>206</v>
      </c>
      <c r="F30" t="s">
        <v>207</v>
      </c>
      <c r="G30" t="s">
        <v>92</v>
      </c>
      <c r="H30" t="s">
        <v>208</v>
      </c>
      <c r="I30" t="s">
        <v>209</v>
      </c>
      <c r="J30" t="s">
        <v>92</v>
      </c>
    </row>
    <row r="31" spans="1:10" x14ac:dyDescent="0.2">
      <c r="A31" t="s">
        <v>197</v>
      </c>
      <c r="B31" t="s">
        <v>210</v>
      </c>
      <c r="C31">
        <v>1</v>
      </c>
      <c r="D31" t="s">
        <v>211</v>
      </c>
      <c r="E31" t="s">
        <v>212</v>
      </c>
      <c r="F31" t="s">
        <v>207</v>
      </c>
      <c r="G31" t="s">
        <v>92</v>
      </c>
      <c r="H31" t="s">
        <v>173</v>
      </c>
      <c r="I31" t="s">
        <v>174</v>
      </c>
      <c r="J31" t="s">
        <v>92</v>
      </c>
    </row>
    <row r="32" spans="1:10" x14ac:dyDescent="0.2">
      <c r="A32" t="s">
        <v>197</v>
      </c>
      <c r="B32" t="s">
        <v>213</v>
      </c>
      <c r="C32">
        <v>1</v>
      </c>
      <c r="D32" t="s">
        <v>214</v>
      </c>
      <c r="E32" t="s">
        <v>215</v>
      </c>
      <c r="F32" t="s">
        <v>121</v>
      </c>
      <c r="G32" t="s">
        <v>92</v>
      </c>
      <c r="H32" t="s">
        <v>216</v>
      </c>
      <c r="I32" t="s">
        <v>217</v>
      </c>
      <c r="J32" t="s">
        <v>92</v>
      </c>
    </row>
    <row r="33" spans="1:10" x14ac:dyDescent="0.2">
      <c r="A33" t="s">
        <v>103</v>
      </c>
      <c r="B33" t="s">
        <v>103</v>
      </c>
      <c r="D33" t="s">
        <v>103</v>
      </c>
      <c r="E33" t="s">
        <v>103</v>
      </c>
      <c r="F33" t="s">
        <v>103</v>
      </c>
      <c r="G33" t="s">
        <v>103</v>
      </c>
      <c r="H33" t="s">
        <v>103</v>
      </c>
      <c r="I33" t="s">
        <v>103</v>
      </c>
      <c r="J33" t="s">
        <v>103</v>
      </c>
    </row>
    <row r="34" spans="1:10" x14ac:dyDescent="0.2">
      <c r="A34" t="s">
        <v>218</v>
      </c>
      <c r="B34" t="s">
        <v>219</v>
      </c>
      <c r="C34">
        <v>1</v>
      </c>
      <c r="D34" t="s">
        <v>220</v>
      </c>
      <c r="E34" t="s">
        <v>221</v>
      </c>
      <c r="F34" t="s">
        <v>201</v>
      </c>
      <c r="G34" t="s">
        <v>122</v>
      </c>
      <c r="H34" t="s">
        <v>222</v>
      </c>
      <c r="I34" t="s">
        <v>223</v>
      </c>
      <c r="J34" t="s">
        <v>92</v>
      </c>
    </row>
    <row r="35" spans="1:10" x14ac:dyDescent="0.2">
      <c r="A35" t="s">
        <v>218</v>
      </c>
      <c r="B35" t="s">
        <v>224</v>
      </c>
      <c r="C35">
        <v>1</v>
      </c>
      <c r="D35" t="s">
        <v>225</v>
      </c>
      <c r="E35" t="s">
        <v>226</v>
      </c>
      <c r="F35" t="s">
        <v>207</v>
      </c>
      <c r="G35" t="s">
        <v>92</v>
      </c>
      <c r="H35" t="s">
        <v>169</v>
      </c>
      <c r="I35" t="s">
        <v>139</v>
      </c>
      <c r="J35" t="s">
        <v>92</v>
      </c>
    </row>
    <row r="36" spans="1:10" x14ac:dyDescent="0.2">
      <c r="A36" t="s">
        <v>103</v>
      </c>
      <c r="B36" t="s">
        <v>103</v>
      </c>
      <c r="D36" t="s">
        <v>103</v>
      </c>
      <c r="E36" t="s">
        <v>103</v>
      </c>
      <c r="F36" t="s">
        <v>103</v>
      </c>
      <c r="G36" t="s">
        <v>103</v>
      </c>
      <c r="H36" t="s">
        <v>103</v>
      </c>
      <c r="I36" t="s">
        <v>103</v>
      </c>
      <c r="J36" t="s">
        <v>103</v>
      </c>
    </row>
    <row r="37" spans="1:10" x14ac:dyDescent="0.2">
      <c r="A37" t="s">
        <v>227</v>
      </c>
      <c r="B37" t="s">
        <v>228</v>
      </c>
      <c r="C37">
        <v>1</v>
      </c>
      <c r="D37" t="s">
        <v>229</v>
      </c>
      <c r="E37" t="s">
        <v>230</v>
      </c>
      <c r="F37" t="s">
        <v>207</v>
      </c>
      <c r="G37" t="s">
        <v>231</v>
      </c>
      <c r="H37" t="s">
        <v>232</v>
      </c>
      <c r="I37" t="s">
        <v>233</v>
      </c>
      <c r="J37" t="s">
        <v>92</v>
      </c>
    </row>
    <row r="38" spans="1:10" x14ac:dyDescent="0.2">
      <c r="A38" t="s">
        <v>227</v>
      </c>
      <c r="B38" t="s">
        <v>234</v>
      </c>
      <c r="C38">
        <v>1</v>
      </c>
      <c r="D38" t="s">
        <v>235</v>
      </c>
      <c r="E38" t="s">
        <v>236</v>
      </c>
      <c r="F38" t="s">
        <v>168</v>
      </c>
      <c r="G38" t="s">
        <v>231</v>
      </c>
      <c r="H38" t="s">
        <v>237</v>
      </c>
      <c r="I38" t="s">
        <v>238</v>
      </c>
      <c r="J38" t="s">
        <v>92</v>
      </c>
    </row>
    <row r="39" spans="1:10" x14ac:dyDescent="0.2">
      <c r="A39" t="s">
        <v>227</v>
      </c>
      <c r="B39" t="s">
        <v>239</v>
      </c>
      <c r="C39">
        <v>1</v>
      </c>
      <c r="D39" t="s">
        <v>240</v>
      </c>
      <c r="E39" t="s">
        <v>241</v>
      </c>
      <c r="F39" t="s">
        <v>168</v>
      </c>
      <c r="G39" t="s">
        <v>92</v>
      </c>
      <c r="H39" t="s">
        <v>169</v>
      </c>
      <c r="I39" t="s">
        <v>139</v>
      </c>
      <c r="J39" t="s">
        <v>92</v>
      </c>
    </row>
    <row r="40" spans="1:10" x14ac:dyDescent="0.2">
      <c r="A40" t="s">
        <v>103</v>
      </c>
      <c r="B40" t="s">
        <v>103</v>
      </c>
      <c r="D40" t="s">
        <v>103</v>
      </c>
      <c r="E40" t="s">
        <v>103</v>
      </c>
      <c r="F40" t="s">
        <v>103</v>
      </c>
      <c r="G40" t="s">
        <v>103</v>
      </c>
      <c r="H40" t="s">
        <v>103</v>
      </c>
      <c r="I40" t="s">
        <v>103</v>
      </c>
      <c r="J40" t="s">
        <v>103</v>
      </c>
    </row>
    <row r="41" spans="1:10" x14ac:dyDescent="0.2">
      <c r="A41" t="s">
        <v>242</v>
      </c>
      <c r="B41" t="s">
        <v>243</v>
      </c>
      <c r="C41">
        <v>1</v>
      </c>
      <c r="D41" t="s">
        <v>244</v>
      </c>
      <c r="E41" t="s">
        <v>245</v>
      </c>
      <c r="F41" t="s">
        <v>246</v>
      </c>
      <c r="G41" t="s">
        <v>92</v>
      </c>
      <c r="H41" t="s">
        <v>247</v>
      </c>
      <c r="I41" t="s">
        <v>248</v>
      </c>
      <c r="J41" t="s">
        <v>92</v>
      </c>
    </row>
    <row r="42" spans="1:10" x14ac:dyDescent="0.2">
      <c r="A42" t="s">
        <v>242</v>
      </c>
      <c r="B42" t="s">
        <v>249</v>
      </c>
      <c r="C42">
        <v>1</v>
      </c>
      <c r="D42" t="s">
        <v>250</v>
      </c>
      <c r="E42" t="s">
        <v>251</v>
      </c>
      <c r="F42" t="s">
        <v>252</v>
      </c>
      <c r="G42" t="s">
        <v>122</v>
      </c>
      <c r="H42" t="s">
        <v>253</v>
      </c>
      <c r="I42" t="s">
        <v>254</v>
      </c>
      <c r="J42" t="s">
        <v>92</v>
      </c>
    </row>
    <row r="43" spans="1:10" x14ac:dyDescent="0.2">
      <c r="A43" t="s">
        <v>103</v>
      </c>
      <c r="B43" t="s">
        <v>103</v>
      </c>
      <c r="D43" t="s">
        <v>103</v>
      </c>
      <c r="E43" t="s">
        <v>103</v>
      </c>
      <c r="F43" t="s">
        <v>103</v>
      </c>
      <c r="G43" t="s">
        <v>103</v>
      </c>
      <c r="H43" t="s">
        <v>103</v>
      </c>
      <c r="I43" t="s">
        <v>103</v>
      </c>
      <c r="J43" t="s">
        <v>103</v>
      </c>
    </row>
    <row r="44" spans="1:10" x14ac:dyDescent="0.2">
      <c r="A44" t="s">
        <v>255</v>
      </c>
      <c r="B44" t="s">
        <v>256</v>
      </c>
      <c r="C44">
        <v>1</v>
      </c>
      <c r="D44" t="s">
        <v>257</v>
      </c>
      <c r="E44" t="s">
        <v>258</v>
      </c>
      <c r="F44" t="s">
        <v>246</v>
      </c>
      <c r="G44" t="s">
        <v>92</v>
      </c>
      <c r="H44" t="s">
        <v>247</v>
      </c>
      <c r="I44" t="s">
        <v>248</v>
      </c>
      <c r="J44" t="s">
        <v>92</v>
      </c>
    </row>
    <row r="45" spans="1:10" x14ac:dyDescent="0.2">
      <c r="A45" t="s">
        <v>255</v>
      </c>
      <c r="B45" t="s">
        <v>259</v>
      </c>
      <c r="C45">
        <v>1</v>
      </c>
      <c r="D45" t="s">
        <v>260</v>
      </c>
      <c r="E45" t="s">
        <v>251</v>
      </c>
      <c r="F45" t="s">
        <v>252</v>
      </c>
      <c r="G45" t="s">
        <v>122</v>
      </c>
      <c r="H45" t="s">
        <v>253</v>
      </c>
      <c r="I45" t="s">
        <v>254</v>
      </c>
      <c r="J45" t="s">
        <v>92</v>
      </c>
    </row>
    <row r="46" spans="1:10" x14ac:dyDescent="0.2">
      <c r="A46" t="s">
        <v>103</v>
      </c>
      <c r="B46" t="s">
        <v>103</v>
      </c>
      <c r="D46" t="s">
        <v>103</v>
      </c>
      <c r="E46" t="s">
        <v>103</v>
      </c>
      <c r="F46" t="s">
        <v>103</v>
      </c>
      <c r="G46" t="s">
        <v>103</v>
      </c>
      <c r="H46" t="s">
        <v>103</v>
      </c>
      <c r="I46" t="s">
        <v>103</v>
      </c>
      <c r="J46" t="s">
        <v>103</v>
      </c>
    </row>
    <row r="47" spans="1:10" x14ac:dyDescent="0.2">
      <c r="A47" t="s">
        <v>261</v>
      </c>
      <c r="B47" t="s">
        <v>262</v>
      </c>
      <c r="C47">
        <v>1</v>
      </c>
      <c r="D47" t="s">
        <v>263</v>
      </c>
      <c r="E47" t="s">
        <v>264</v>
      </c>
      <c r="F47" t="s">
        <v>265</v>
      </c>
      <c r="G47" t="s">
        <v>92</v>
      </c>
      <c r="H47" t="s">
        <v>266</v>
      </c>
      <c r="I47" t="s">
        <v>267</v>
      </c>
      <c r="J47" t="s">
        <v>268</v>
      </c>
    </row>
    <row r="48" spans="1:10" x14ac:dyDescent="0.2">
      <c r="A48" t="s">
        <v>261</v>
      </c>
      <c r="B48" t="s">
        <v>269</v>
      </c>
      <c r="C48">
        <v>1</v>
      </c>
      <c r="D48" t="s">
        <v>270</v>
      </c>
      <c r="E48" t="s">
        <v>251</v>
      </c>
      <c r="F48" t="s">
        <v>252</v>
      </c>
      <c r="G48" t="s">
        <v>122</v>
      </c>
      <c r="H48" t="s">
        <v>253</v>
      </c>
      <c r="I48" t="s">
        <v>254</v>
      </c>
      <c r="J48" t="s">
        <v>92</v>
      </c>
    </row>
    <row r="49" spans="1:10" x14ac:dyDescent="0.2">
      <c r="A49" t="s">
        <v>103</v>
      </c>
      <c r="B49" t="s">
        <v>103</v>
      </c>
      <c r="D49" t="s">
        <v>103</v>
      </c>
      <c r="E49" t="s">
        <v>103</v>
      </c>
      <c r="F49" t="s">
        <v>103</v>
      </c>
      <c r="G49" t="s">
        <v>103</v>
      </c>
      <c r="H49" t="s">
        <v>103</v>
      </c>
      <c r="I49" t="s">
        <v>103</v>
      </c>
      <c r="J49" t="s">
        <v>103</v>
      </c>
    </row>
    <row r="50" spans="1:10" x14ac:dyDescent="0.2">
      <c r="A50" t="s">
        <v>271</v>
      </c>
      <c r="B50" t="s">
        <v>272</v>
      </c>
      <c r="C50">
        <v>1</v>
      </c>
      <c r="D50" t="s">
        <v>273</v>
      </c>
      <c r="E50" t="s">
        <v>274</v>
      </c>
      <c r="F50" t="s">
        <v>207</v>
      </c>
      <c r="G50" t="s">
        <v>231</v>
      </c>
      <c r="H50" t="s">
        <v>275</v>
      </c>
      <c r="I50" t="s">
        <v>276</v>
      </c>
      <c r="J50" t="s">
        <v>92</v>
      </c>
    </row>
    <row r="51" spans="1:10" x14ac:dyDescent="0.2">
      <c r="A51" t="s">
        <v>271</v>
      </c>
      <c r="B51" t="s">
        <v>277</v>
      </c>
      <c r="C51">
        <v>1</v>
      </c>
      <c r="D51" t="s">
        <v>273</v>
      </c>
      <c r="E51" t="s">
        <v>274</v>
      </c>
      <c r="F51" t="s">
        <v>207</v>
      </c>
      <c r="G51" t="s">
        <v>231</v>
      </c>
      <c r="H51" t="s">
        <v>275</v>
      </c>
      <c r="I51" t="s">
        <v>276</v>
      </c>
      <c r="J51" t="s">
        <v>92</v>
      </c>
    </row>
    <row r="52" spans="1:10" x14ac:dyDescent="0.2">
      <c r="A52" t="s">
        <v>103</v>
      </c>
      <c r="B52" t="s">
        <v>103</v>
      </c>
      <c r="D52" t="s">
        <v>103</v>
      </c>
      <c r="E52" t="s">
        <v>103</v>
      </c>
      <c r="F52" t="s">
        <v>103</v>
      </c>
      <c r="G52" t="s">
        <v>103</v>
      </c>
      <c r="H52" t="s">
        <v>103</v>
      </c>
      <c r="I52" t="s">
        <v>103</v>
      </c>
      <c r="J52" t="s">
        <v>103</v>
      </c>
    </row>
    <row r="53" spans="1:10" x14ac:dyDescent="0.2">
      <c r="A53" t="s">
        <v>278</v>
      </c>
      <c r="B53" t="s">
        <v>279</v>
      </c>
      <c r="C53">
        <v>1</v>
      </c>
      <c r="D53" t="s">
        <v>280</v>
      </c>
      <c r="E53" t="s">
        <v>281</v>
      </c>
      <c r="F53" t="s">
        <v>282</v>
      </c>
      <c r="G53" t="s">
        <v>92</v>
      </c>
      <c r="H53" t="s">
        <v>283</v>
      </c>
      <c r="I53" t="s">
        <v>284</v>
      </c>
      <c r="J53" t="s">
        <v>92</v>
      </c>
    </row>
    <row r="54" spans="1:10" x14ac:dyDescent="0.2">
      <c r="A54" t="s">
        <v>278</v>
      </c>
      <c r="B54" t="s">
        <v>285</v>
      </c>
      <c r="C54">
        <v>1</v>
      </c>
      <c r="D54" t="s">
        <v>286</v>
      </c>
      <c r="E54" t="s">
        <v>281</v>
      </c>
      <c r="F54" t="s">
        <v>282</v>
      </c>
      <c r="G54" t="s">
        <v>92</v>
      </c>
      <c r="H54" t="s">
        <v>283</v>
      </c>
      <c r="I54" t="s">
        <v>284</v>
      </c>
      <c r="J54" t="s">
        <v>92</v>
      </c>
    </row>
    <row r="55" spans="1:10" x14ac:dyDescent="0.2">
      <c r="A55" t="s">
        <v>278</v>
      </c>
      <c r="B55" t="s">
        <v>287</v>
      </c>
      <c r="C55">
        <v>1</v>
      </c>
      <c r="D55" t="s">
        <v>288</v>
      </c>
      <c r="E55" t="s">
        <v>281</v>
      </c>
      <c r="F55" t="s">
        <v>282</v>
      </c>
      <c r="G55" t="s">
        <v>92</v>
      </c>
      <c r="H55" t="s">
        <v>283</v>
      </c>
      <c r="I55" t="s">
        <v>284</v>
      </c>
      <c r="J55" t="s">
        <v>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B8E-FE14-49BC-80CC-B1661AEEF06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EA75D6-637F-4687-B337-773748F396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Feuil1</vt:lpstr>
      <vt:lpstr>BOM</vt:lpstr>
      <vt:lpstr>BOM (2)</vt:lpstr>
      <vt:lpstr>dataV2</vt:lpstr>
      <vt:lpstr>data</vt:lpstr>
      <vt:lpstr>KiCAD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Konzelmann</dc:creator>
  <cp:lastModifiedBy>Alexandre Konzelmann</cp:lastModifiedBy>
  <dcterms:created xsi:type="dcterms:W3CDTF">2015-06-05T18:19:34Z</dcterms:created>
  <dcterms:modified xsi:type="dcterms:W3CDTF">2026-01-18T13:47:55Z</dcterms:modified>
</cp:coreProperties>
</file>